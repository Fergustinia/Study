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 activeTab="1"/>
  </bookViews>
  <sheets>
    <sheet name="МОБ 8" sheetId="1" r:id="rId1"/>
    <sheet name="Равновесные модели FC №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<sst xmlns="http://schemas.openxmlformats.org/spreadsheetml/2006/main" count="334" uniqueCount="237">
  <si>
    <t>По отраслям (млн. руб.)</t>
  </si>
  <si>
    <t>Элементы системы</t>
  </si>
  <si>
    <t>Промышленность</t>
  </si>
  <si>
    <t>Сельское хозяйство</t>
  </si>
  <si>
    <t xml:space="preserve"> Транспорт</t>
  </si>
  <si>
    <t>Прочие отрасли</t>
  </si>
  <si>
    <t>Конечный продукт</t>
  </si>
  <si>
    <t>Валовый продукт</t>
  </si>
  <si>
    <t>Проверка баланса предшествующего периода</t>
  </si>
  <si>
    <t>Сумма Квадранта 3</t>
  </si>
  <si>
    <t>Транспорт</t>
  </si>
  <si>
    <t>Фонд оплаты труда</t>
  </si>
  <si>
    <t>Решение МОБ существует.</t>
  </si>
  <si>
    <t>Прибыль</t>
  </si>
  <si>
    <t>Амортизация</t>
  </si>
  <si>
    <t>Матрица норм прямых материальных затрат</t>
  </si>
  <si>
    <t>Балансовая модель имеет решение, если норма матрицы каждого из столбцов технологической матрицы прямых материальных затрат строго меньше единицы т.е.</t>
  </si>
  <si>
    <t>Столбец "Промышленность":</t>
  </si>
  <si>
    <t>Столбец "Сельское хозяйство":</t>
  </si>
  <si>
    <t>Столбец "Транспорт":</t>
  </si>
  <si>
    <t>Столбец "Прочие отрасли":</t>
  </si>
  <si>
    <t>Матрица А=</t>
  </si>
  <si>
    <t>Сумма:</t>
  </si>
  <si>
    <t>(&lt; 1)</t>
  </si>
  <si>
    <t>Все суммы по столбцам меньше единицы
наличие решения МОБ существует</t>
  </si>
  <si>
    <t>Задание 2</t>
  </si>
  <si>
    <t>Расчет планового валового продукта</t>
  </si>
  <si>
    <t>План (Конечный продукт новый)</t>
  </si>
  <si>
    <t>"Промышленность":</t>
  </si>
  <si>
    <t>"Сельское хозяйство":</t>
  </si>
  <si>
    <t>"Транспорт":</t>
  </si>
  <si>
    <t>"Прочие отрасли":</t>
  </si>
  <si>
    <t>матрица A</t>
  </si>
  <si>
    <t>матрица норм прямых материальных затрат</t>
  </si>
  <si>
    <t>матрица (E - A)</t>
  </si>
  <si>
    <t>Единичная матрица - Рабочая матрица (матрица норм прямых материальных затрат)</t>
  </si>
  <si>
    <t>обратная матрицей к рабочей матрице прямых материальных затрат</t>
  </si>
  <si>
    <t>Матрица Обратная (МОБР - функция)</t>
  </si>
  <si>
    <t>МУМНОЖ (обратная_матрица; столбец_Y_план)</t>
  </si>
  <si>
    <t>Плановый валовой продукт отраслей</t>
  </si>
  <si>
    <t>Получили новый плановый валовой продукт отраслей</t>
  </si>
  <si>
    <t>Коэффициенты уравнения Aij (элементы обратной матрицы) с точки зрения экономики есть коэффициенты полных материальных затрат i- отрасли на производство единицы j- продукции. Они учитывают как прямые затраты самой отрасли так и косвенные затраты, которые относятся к предшествующим стадиям производства, и входят в i- продукт через другие средства производства.</t>
  </si>
  <si>
    <t>Задание 3</t>
  </si>
  <si>
    <t>ГДЕ:</t>
  </si>
  <si>
    <t>X_отч(валовой продукт отчетного года)</t>
  </si>
  <si>
    <t>X_вал (валовой продукт планового года)</t>
  </si>
  <si>
    <t xml:space="preserve">Y_кон (конечный продукт отчетного года) </t>
  </si>
  <si>
    <t xml:space="preserve">Y_вал (конечный продукт планового года) </t>
  </si>
  <si>
    <t>Расчет индексов соотношения валового и конечного продуктов</t>
  </si>
  <si>
    <t>Показатель</t>
  </si>
  <si>
    <t>Xо_отч(валовой продукт отчетного года)</t>
  </si>
  <si>
    <t xml:space="preserve">Yт_кон (конечный продукт отчетного года) </t>
  </si>
  <si>
    <t>Xо_вал (валовой продукт планового года)</t>
  </si>
  <si>
    <t xml:space="preserve">Yт_вал (конечный продукт планового года) </t>
  </si>
  <si>
    <t>Рассчитываем коэффициенты β (соотношение ВП и КП)</t>
  </si>
  <si>
    <t>Отчетный год (βо):</t>
  </si>
  <si>
    <t>Плановый год  (βт):</t>
  </si>
  <si>
    <t>Рассчитываем индексы Jβ</t>
  </si>
  <si>
    <t>Аналогичная ситуация — материалоемкость снижается крайне медленно. Развитие близко к стагнации, серьезных технологических сдвигов не происходит.</t>
  </si>
  <si>
    <t>Незначительное снижение материалоемкости (на 0,6%). Отрасль остается самой затратной (β &gt; 3), эффективность практически не меняется — слабый прогресс</t>
  </si>
  <si>
    <t>Снижение материалоемкости всего на 0,4%. Отрасль работает стабильно, но без улучшений — эффективность застыла на уровне отчетного года.</t>
  </si>
  <si>
    <t>Единственный показатель регресса — материалоемкость выросла на 0,5%. Чтобы произвести тот же объем конечной продукции, требуется больше валовой. Негативная динамика.</t>
  </si>
  <si>
    <t>Анализ динамики развития отраслей</t>
  </si>
  <si>
    <t>&gt;1 – валовой продукт растет быстрее конечного (регресс, экономика пошла на спад); 
=1 – состояние статики; 
&lt;1 – прогрессивное развитие экономической системы, здесь конечный продукт растет быстрее валового.</t>
  </si>
  <si>
    <t>Задание 4</t>
  </si>
  <si>
    <t>Рассчитать по отраслям фонд оплаты труда, при условиях</t>
  </si>
  <si>
    <t>Исходные данные</t>
  </si>
  <si>
    <t>Отрасль</t>
  </si>
  <si>
    <t>ФОТ_о (отчетный)</t>
  </si>
  <si>
    <t>Валовой продукт (Xо)</t>
  </si>
  <si>
    <t>Плановый (новый) валовой продукт отраслей</t>
  </si>
  <si>
    <t>Расчет планового фонда оплаты труда (ФОТ)</t>
  </si>
  <si>
    <t>tj (коэффициент удельной зарплаты)</t>
  </si>
  <si>
    <t>ФОТ_t (план)</t>
  </si>
  <si>
    <t>tj по столбцам
Здесь сейчас по i идёт а должно идти по j
"Строка на столбец" (Слева должен идти)</t>
  </si>
  <si>
    <t>В каких измерениях Измеряется живой труд?
 в ДЕНЕЖНЫХ измеряется живой труд</t>
  </si>
  <si>
    <t>Фонд зарплаты увеличился --&gt; для сотрудников хорошо, для работодателя плохо</t>
  </si>
  <si>
    <t xml:space="preserve"> Расчет затрат овеществленного труда (материальных затрат)</t>
  </si>
  <si>
    <t>ПРЕДШЕСТВУЮЩИЙ</t>
  </si>
  <si>
    <t>Отчетный год (МЗ_о)</t>
  </si>
  <si>
    <t>МЗ₀ - мат затраты</t>
  </si>
  <si>
    <t>Плановый год (МЗ_t)</t>
  </si>
  <si>
    <t>Расчет материальных затрат для каждой отрасли МЗ t (план)</t>
  </si>
  <si>
    <t>Расчет коэффициентов α (доля живого труда в полных затратах)</t>
  </si>
  <si>
    <t xml:space="preserve">αо - предшествующий год </t>
  </si>
  <si>
    <t xml:space="preserve">αt - плановый год </t>
  </si>
  <si>
    <t>Рассчёт коэффициент α (доля живого труда) для обеих периодов</t>
  </si>
  <si>
    <r>
      <rPr>
        <sz val="10"/>
        <color theme="1"/>
        <rFont val="Calibri"/>
        <charset val="134"/>
      </rPr>
      <t xml:space="preserve">Расчет α для </t>
    </r>
    <r>
      <rPr>
        <b/>
        <sz val="10"/>
        <color theme="1"/>
        <rFont val="Calibri"/>
        <charset val="134"/>
      </rPr>
      <t xml:space="preserve">отчетного </t>
    </r>
    <r>
      <rPr>
        <sz val="10"/>
        <color theme="1"/>
        <rFont val="Calibri"/>
        <charset val="134"/>
      </rPr>
      <t>года</t>
    </r>
  </si>
  <si>
    <t>МЗ_о (мат затраты)</t>
  </si>
  <si>
    <t>Для отчетного года (α_о)</t>
  </si>
  <si>
    <t>Ао (Амортизация)</t>
  </si>
  <si>
    <t>Всего затрат труда</t>
  </si>
  <si>
    <t>αо</t>
  </si>
  <si>
    <r>
      <rPr>
        <sz val="10"/>
        <color theme="1"/>
        <rFont val="Calibri"/>
        <charset val="134"/>
      </rPr>
      <t xml:space="preserve">Расчет α для </t>
    </r>
    <r>
      <rPr>
        <b/>
        <sz val="10"/>
        <color theme="1"/>
        <rFont val="Calibri"/>
        <charset val="134"/>
      </rPr>
      <t xml:space="preserve">планового </t>
    </r>
    <r>
      <rPr>
        <sz val="10"/>
        <color theme="1"/>
        <rFont val="Calibri"/>
        <charset val="134"/>
      </rPr>
      <t>года</t>
    </r>
  </si>
  <si>
    <t>ФОТ_t (отчетный)</t>
  </si>
  <si>
    <t>МЗ_t (мат затраты)</t>
  </si>
  <si>
    <t>Для планового года (α_t)</t>
  </si>
  <si>
    <t>αt</t>
  </si>
  <si>
    <t>Расчет индексов Jα (динамика доли живого труда)</t>
  </si>
  <si>
    <t>Jα</t>
  </si>
  <si>
    <t>Доля живого труда выросла на 2,6%. Это означает, что доля овеществленного труда снизилась.</t>
  </si>
  <si>
    <t>Доля живого труда выросла на 2,6%.</t>
  </si>
  <si>
    <t>Доля живого труда выросла на 2,3%.</t>
  </si>
  <si>
    <t>Доля живого труда выросла на 2,7%.</t>
  </si>
  <si>
    <t>&gt;1 – доля живого труда возрастает; 
=1 – доля живого труда не меняется; 
&lt;1 – доля живого труда снижается (прогрессивное состояние в системе).</t>
  </si>
  <si>
    <t>Задание 5</t>
  </si>
  <si>
    <t>Рассчитать по отраслям сбалансированные индексы цен для планового года</t>
  </si>
  <si>
    <t>У нас прямая материало-ёмкость</t>
  </si>
  <si>
    <t>а - измеряется в натуральных единицах</t>
  </si>
  <si>
    <t>Плановая норма чистого дохода Zj</t>
  </si>
  <si>
    <t>Баланс у нас стоимостной</t>
  </si>
  <si>
    <t>Плановый чистый доход mj=Vj*Zj</t>
  </si>
  <si>
    <t>Сбалансированные индексы цен pj</t>
  </si>
  <si>
    <t>Амортизацию чтобы найти  --&gt; надо амортизацию поделить на валовую</t>
  </si>
  <si>
    <t>окончательная формула расчета</t>
  </si>
  <si>
    <t>Норма чистого дохода (zⱼ)</t>
  </si>
  <si>
    <t>Плановый чистый доход (mⱼ = Vⱼ × zⱼ)</t>
  </si>
  <si>
    <t>Сбалансированный индекс цен (pⱼ)</t>
  </si>
  <si>
    <t>Окончательная формула расчета</t>
  </si>
  <si>
    <t>ИТОГ</t>
  </si>
  <si>
    <t>1. Промышленность (p₁ = 0,965)</t>
  </si>
  <si>
    <t>Индекс цены близок к 1 (снижение всего на 3,5%). Несмотря на самую низкую норму чистого дохода (10%), отрасль показывает минимальное изменение цен. Это свидетельствует о стабильности ценообразования в промышленности — затраты и прибыль сбалансированы так, что цены практически не меняются.</t>
  </si>
  <si>
    <t>Большинство секторов (промышленность, сельское хозяйство и транспорт) демонстрируют эффективное ценообразование со стабильными или снижающимися ценами при сохранении доходности, в то время как «Прочие отрасли» показывают негативную тенденцию значительного роста цен (+29,5%), несмотря на высокую норму прибыли.</t>
  </si>
  <si>
    <t>2. Сельское хозяйство (p₂ = 0,868)</t>
  </si>
  <si>
    <t>Снижение цен на 13,2% при высокой норме чистого дохода (40%). Парадокс: высокая норма доходности сочетается со снижением цен. Это возможно благодаря снижению материальных затрат или росту производительности. Чистый доход наибольший среди отраслей (418,97), что подтверждает эффективность.</t>
  </si>
  <si>
    <t>3. Транспорт (p₃ = 0,876)</t>
  </si>
  <si>
    <t>Снижение цен на 12,4% при норме дохода 30%. Чистый доход также высок (405,29). Транспорт демонстрирует эффективное ценообразование — цены снижаются при сохранении высокой доходности.</t>
  </si>
  <si>
    <t>4. Прочие отрасли (p₄ = 1,295)</t>
  </si>
  <si>
    <t>Единственная отрасль с ростом цен (+29,5%) при норме дохода 40%. Это тревожный сигнал: несмотря на высокую норму чистого дохода, цены растут.</t>
  </si>
  <si>
    <t>Плановые отчетные данные (млн. руб.)</t>
  </si>
  <si>
    <t>Вариант 1</t>
  </si>
  <si>
    <t>Период сглаживания = 3</t>
  </si>
  <si>
    <t>Ô - буква фи</t>
  </si>
  <si>
    <t>S</t>
  </si>
  <si>
    <t>С</t>
  </si>
  <si>
    <t>D</t>
  </si>
  <si>
    <t>Трёхуровневое сглаживание</t>
  </si>
  <si>
    <t>Месяц №</t>
  </si>
  <si>
    <t>Цена</t>
  </si>
  <si>
    <t>Спрос</t>
  </si>
  <si>
    <t>Доход</t>
  </si>
  <si>
    <t>Период</t>
  </si>
  <si>
    <t>По цене (L)</t>
  </si>
  <si>
    <t>По спросу (Y)</t>
  </si>
  <si>
    <t>По доходу (Ô)</t>
  </si>
  <si>
    <t>ln(L)</t>
  </si>
  <si>
    <t>ln(Y)</t>
  </si>
  <si>
    <t>ln(Ô)</t>
  </si>
  <si>
    <t>ln^2(Ô)</t>
  </si>
  <si>
    <t>ln^2(L)</t>
  </si>
  <si>
    <t>ln(Ô)*ln(L)</t>
  </si>
  <si>
    <t>ln(Y)*ln(Ô)</t>
  </si>
  <si>
    <t>ln(Y)*ln(L)</t>
  </si>
  <si>
    <t>1..3</t>
  </si>
  <si>
    <t>2..4</t>
  </si>
  <si>
    <t>3..5</t>
  </si>
  <si>
    <t>4..6</t>
  </si>
  <si>
    <t>5..7</t>
  </si>
  <si>
    <t>6..8</t>
  </si>
  <si>
    <t>7..9</t>
  </si>
  <si>
    <t>8..10</t>
  </si>
  <si>
    <t>9..11</t>
  </si>
  <si>
    <t>10..12</t>
  </si>
  <si>
    <t>11..13</t>
  </si>
  <si>
    <t>12..14</t>
  </si>
  <si>
    <t>13..15</t>
  </si>
  <si>
    <t>14..16</t>
  </si>
  <si>
    <t>15..17</t>
  </si>
  <si>
    <t>16..18</t>
  </si>
  <si>
    <t>17..19</t>
  </si>
  <si>
    <t>18..20</t>
  </si>
  <si>
    <t>19..21</t>
  </si>
  <si>
    <r>
      <t xml:space="preserve">ПЕРВОЕ </t>
    </r>
    <r>
      <rPr>
        <sz val="10"/>
        <color theme="1"/>
        <rFont val="Times New Roman"/>
        <charset val="134"/>
      </rPr>
      <t>- Отчетные данные рядов динамики (С, D, s), накопленные за предшествующие 24 месяца, выровнять методом «скользящая средняя»</t>
    </r>
  </si>
  <si>
    <r>
      <t xml:space="preserve">ВТОРОЕ </t>
    </r>
    <r>
      <rPr>
        <sz val="10"/>
        <color theme="1"/>
        <rFont val="Times New Roman"/>
        <charset val="134"/>
      </rPr>
      <t xml:space="preserve">- Построить по (1.2) ФС как степенную связь между объемом спроса, доходом потребителя и ценой приобретаемого товара. </t>
    </r>
  </si>
  <si>
    <t>ПЯТОЕ- Задать 3 новых значения параметров-аргументов (D, s), сравнимые по абсолютному значению с соответствующими исходными данными 24-го месяца, и на базе построенной ФС рассчитать значения параметра-функции С на 1-й квартал (месяцы №1, № 2, № 3) планового года</t>
  </si>
  <si>
    <r>
      <t xml:space="preserve">Так как у нас не 24, а </t>
    </r>
    <r>
      <rPr>
        <b/>
        <sz val="10"/>
        <color theme="1"/>
        <rFont val="Times New Roman"/>
        <charset val="134"/>
      </rPr>
      <t>22 месяца</t>
    </r>
  </si>
  <si>
    <t>Возьмём за X</t>
  </si>
  <si>
    <t>N=</t>
  </si>
  <si>
    <t>x1 =</t>
  </si>
  <si>
    <t>ln(a)</t>
  </si>
  <si>
    <t>x2 =</t>
  </si>
  <si>
    <t>alpha</t>
  </si>
  <si>
    <t>x3 =</t>
  </si>
  <si>
    <t>beta</t>
  </si>
  <si>
    <t>Уравнение</t>
  </si>
  <si>
    <t>Выровненный спрос (C)</t>
  </si>
  <si>
    <t>Аппроксимированный спрос (Y)</t>
  </si>
  <si>
    <t xml:space="preserve"> Знаменатель в формуле индекса корреляции</t>
  </si>
  <si>
    <t xml:space="preserve"> Числитель в формуле индекса корреляции</t>
  </si>
  <si>
    <t>N</t>
  </si>
  <si>
    <t>ln(Ô) сумма</t>
  </si>
  <si>
    <t>ln(L) сумма</t>
  </si>
  <si>
    <t>ln(Y) сумма</t>
  </si>
  <si>
    <t>,=</t>
  </si>
  <si>
    <t>ln(Ô)^2 сумма</t>
  </si>
  <si>
    <t>ln(Ô) ln(L)  сумма</t>
  </si>
  <si>
    <t>ln(Y)*ln(Ô) сумма</t>
  </si>
  <si>
    <t>ln(L)^2 сумма</t>
  </si>
  <si>
    <t>ln(Y)*ln(L) сумма</t>
  </si>
  <si>
    <t>.=</t>
  </si>
  <si>
    <t>A · X = B</t>
  </si>
  <si>
    <t>Находим Xi как:</t>
  </si>
  <si>
    <t>X = A⁻¹ · B</t>
  </si>
  <si>
    <t>МОБР - обр матрица</t>
  </si>
  <si>
    <t>--&gt;</t>
  </si>
  <si>
    <t>a =</t>
  </si>
  <si>
    <t>alpha =</t>
  </si>
  <si>
    <t>beta =</t>
  </si>
  <si>
    <t>Чтобы получить из ln A, просто A нужно выполнить обратную операцию - потенцирование, или взятие экспоненты.  A = e^{ln A}</t>
  </si>
  <si>
    <t>Среднее значение (Сумма) Средний спрос (С)</t>
  </si>
  <si>
    <t>Корреляция:</t>
  </si>
  <si>
    <t>Видимо модель с сглаживанием =3 не справилась , и нужно для неё сглаживание =5</t>
  </si>
  <si>
    <r>
      <t xml:space="preserve">ТРЕТЬЕ </t>
    </r>
    <r>
      <rPr>
        <sz val="10"/>
        <color theme="1"/>
        <rFont val="Times New Roman"/>
        <charset val="134"/>
      </rPr>
      <t>- Найти коэффициенты предельной эффективности спроса по цене и доходу При расчетах использовать среднеарифметические эффективности спроса по цене, доходу и их коэффициенты эластичности. На основании полученных значений коэффициентов предельной эффективности спроса провести оценку значимости товара для потребителя.</t>
    </r>
  </si>
  <si>
    <t>C = f(D, s) = a × Dᵅ × sᵝ</t>
  </si>
  <si>
    <t>Спрос = 3195874,788 × D^(-0.282) × s^(-0.024)</t>
  </si>
  <si>
    <t>Находим средние значения (расчет предельных эффективностей )</t>
  </si>
  <si>
    <t>Средний спрос (С)</t>
  </si>
  <si>
    <t>Средний доход (D)</t>
  </si>
  <si>
    <t>Средняя цена (S)</t>
  </si>
  <si>
    <t>Uₛ=</t>
  </si>
  <si>
    <t>&lt;0</t>
  </si>
  <si>
    <t>Если цена вырастет на 1 рубль, спрос снизится примерно на 3,15 единицы (штук/кг)</t>
  </si>
  <si>
    <t>Uᴅ=</t>
  </si>
  <si>
    <t>Если доход вырастет на 1 рубль, спрос снизится примерно на 0,93 единицы.</t>
  </si>
  <si>
    <r>
      <t xml:space="preserve">ЧЕТВЁРТОЕ </t>
    </r>
    <r>
      <rPr>
        <sz val="10"/>
        <color theme="1"/>
        <rFont val="Times New Roman"/>
        <charset val="134"/>
      </rPr>
      <t>- Объяснить экономический смысл коэффициентов эластичности спроса по цене и
доходу, влияние динамики дохода и цены на динамику спроса.</t>
    </r>
  </si>
  <si>
    <r>
      <t xml:space="preserve">Эластичность спроса </t>
    </r>
    <r>
      <rPr>
        <sz val="10"/>
        <color theme="1"/>
        <rFont val="Times New Roman"/>
        <charset val="134"/>
      </rPr>
      <t xml:space="preserve">по </t>
    </r>
    <r>
      <rPr>
        <b/>
        <sz val="10"/>
        <color theme="1"/>
        <rFont val="Times New Roman"/>
        <charset val="134"/>
      </rPr>
      <t xml:space="preserve">цене </t>
    </r>
    <r>
      <rPr>
        <sz val="10"/>
        <color theme="1"/>
        <rFont val="Times New Roman"/>
        <charset val="134"/>
      </rPr>
      <t>показывает величину изменения спроса при росте цены на 1%</t>
    </r>
  </si>
  <si>
    <t>β (эластичность по цене) =</t>
  </si>
  <si>
    <t>При увеличении цены на 1% спрос снижается на 0.024%.</t>
  </si>
  <si>
    <t>Так как |β| &lt; 1, спрос является неэластичным по цене.</t>
  </si>
  <si>
    <t>Это товар первой необходимости — люди продолжат его покупать даже при росте цен, потому что заменить нечем.</t>
  </si>
  <si>
    <r>
      <t xml:space="preserve">Эластичность спроса </t>
    </r>
    <r>
      <rPr>
        <sz val="10"/>
        <color theme="1"/>
        <rFont val="Times New Roman"/>
        <charset val="134"/>
      </rPr>
      <t>по</t>
    </r>
    <r>
      <rPr>
        <b/>
        <sz val="10"/>
        <color theme="1"/>
        <rFont val="Times New Roman"/>
        <charset val="134"/>
      </rPr>
      <t xml:space="preserve"> доходу </t>
    </r>
    <r>
      <rPr>
        <sz val="10"/>
        <color theme="1"/>
        <rFont val="Times New Roman"/>
        <charset val="134"/>
      </rPr>
      <t>показывает процент увеличения спроса при росте дохода на 1%</t>
    </r>
  </si>
  <si>
    <t>α (эластичность по доходу) =</t>
  </si>
  <si>
    <t>При увеличении дохода на 1% спрос снижается на 0.282%.</t>
  </si>
  <si>
    <t>Отрицательное значение означает, что товар относится к категории инфериорных (низкокачественных).</t>
  </si>
  <si>
    <t>Потребитель при росте дохода переключается на более качественные товары-заменители.</t>
  </si>
  <si>
    <t>Вывод</t>
  </si>
  <si>
    <t xml:space="preserve">Товар является неэластичным по цене (люди покупают независимо от цены) и по доходу товар низкокачественный (при росте благосостояния от него отказываются).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</si>
</sst>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</numFmts>
  <fonts count="3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21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rgb="FFFCE5CD"/>
      <name val="Times New Roman"/>
      <charset val="134"/>
    </font>
    <font>
      <sz val="10"/>
      <color theme="1"/>
      <name val="Times New Roman"/>
      <charset val="134"/>
    </font>
    <font>
      <sz val="18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CCCCCC"/>
      <name val="Calibri"/>
      <charset val="134"/>
      <scheme val="minor"/>
    </font>
    <font>
      <sz val="1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0F1F6"/>
        <bgColor rgb="FFC0F1F6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30F047"/>
        <bgColor rgb="FF30F047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00AC47"/>
        <bgColor rgb="FF00AC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1" borderId="37" applyNumberFormat="0" applyAlignment="0" applyProtection="0">
      <alignment vertical="center"/>
    </xf>
    <xf numFmtId="0" fontId="26" fillId="22" borderId="38" applyNumberFormat="0" applyAlignment="0" applyProtection="0">
      <alignment vertical="center"/>
    </xf>
    <xf numFmtId="0" fontId="27" fillId="22" borderId="37" applyNumberFormat="0" applyAlignment="0" applyProtection="0">
      <alignment vertical="center"/>
    </xf>
    <xf numFmtId="0" fontId="28" fillId="23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</cellStyleXfs>
  <cellXfs count="19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80" fontId="4" fillId="0" borderId="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80" fontId="4" fillId="0" borderId="0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5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9" xfId="0" applyFont="1" applyBorder="1"/>
    <xf numFmtId="0" fontId="4" fillId="0" borderId="0" xfId="0" applyFont="1" applyAlignment="1"/>
    <xf numFmtId="0" fontId="4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8" fillId="2" borderId="11" xfId="0" applyFont="1" applyFill="1" applyBorder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4" xfId="0" applyFont="1" applyFill="1" applyBorder="1"/>
    <xf numFmtId="0" fontId="8" fillId="2" borderId="12" xfId="0" applyFont="1" applyFill="1" applyBorder="1"/>
    <xf numFmtId="0" fontId="8" fillId="2" borderId="13" xfId="0" applyFont="1" applyFill="1" applyBorder="1"/>
    <xf numFmtId="0" fontId="9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5" fillId="0" borderId="4" xfId="0" applyFont="1" applyBorder="1"/>
    <xf numFmtId="0" fontId="3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2" borderId="9" xfId="0" applyFont="1" applyFill="1" applyBorder="1"/>
    <xf numFmtId="0" fontId="8" fillId="2" borderId="14" xfId="0" applyFont="1" applyFill="1" applyBorder="1"/>
    <xf numFmtId="0" fontId="1" fillId="2" borderId="2" xfId="0" applyFont="1" applyFill="1" applyBorder="1"/>
    <xf numFmtId="0" fontId="8" fillId="0" borderId="0" xfId="0" applyFont="1"/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/>
    </xf>
    <xf numFmtId="0" fontId="5" fillId="0" borderId="15" xfId="0" applyFont="1" applyBorder="1"/>
    <xf numFmtId="180" fontId="4" fillId="5" borderId="5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5" fillId="0" borderId="16" xfId="0" applyFont="1" applyBorder="1"/>
    <xf numFmtId="0" fontId="1" fillId="0" borderId="5" xfId="0" applyFont="1" applyBorder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180" fontId="1" fillId="9" borderId="2" xfId="0" applyNumberFormat="1" applyFont="1" applyFill="1" applyBorder="1" applyAlignment="1">
      <alignment horizontal="center" vertical="center"/>
    </xf>
    <xf numFmtId="180" fontId="1" fillId="9" borderId="4" xfId="0" applyNumberFormat="1" applyFont="1" applyFill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1" fillId="0" borderId="0" xfId="0" applyNumberFormat="1" applyFont="1"/>
    <xf numFmtId="180" fontId="1" fillId="9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80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2" fillId="0" borderId="11" xfId="0" applyFont="1" applyBorder="1" applyAlignment="1">
      <alignment vertical="center" wrapText="1"/>
    </xf>
    <xf numFmtId="0" fontId="5" fillId="0" borderId="17" xfId="0" applyFont="1" applyBorder="1"/>
    <xf numFmtId="0" fontId="5" fillId="0" borderId="12" xfId="0" applyFont="1" applyBorder="1"/>
    <xf numFmtId="0" fontId="5" fillId="0" borderId="14" xfId="0" applyFont="1" applyBorder="1"/>
    <xf numFmtId="0" fontId="2" fillId="0" borderId="0" xfId="0" applyFont="1" applyAlignment="1"/>
    <xf numFmtId="0" fontId="7" fillId="2" borderId="11" xfId="0" applyFont="1" applyFill="1" applyBorder="1" applyAlignment="1">
      <alignment horizontal="center" vertical="center" wrapText="1"/>
    </xf>
    <xf numFmtId="180" fontId="1" fillId="0" borderId="10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180" fontId="1" fillId="0" borderId="0" xfId="0" applyNumberFormat="1" applyFont="1" applyAlignment="1"/>
    <xf numFmtId="180" fontId="2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80" fontId="10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6" fillId="5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7" fillId="0" borderId="0" xfId="0" applyFont="1" applyAlignment="1"/>
    <xf numFmtId="0" fontId="2" fillId="0" borderId="0" xfId="0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1" fillId="0" borderId="11" xfId="0" applyFont="1" applyBorder="1" applyAlignment="1"/>
    <xf numFmtId="0" fontId="1" fillId="0" borderId="17" xfId="0" applyFont="1" applyBorder="1"/>
    <xf numFmtId="0" fontId="1" fillId="0" borderId="12" xfId="0" applyFont="1" applyBorder="1"/>
    <xf numFmtId="0" fontId="1" fillId="0" borderId="18" xfId="0" applyFont="1" applyBorder="1" applyAlignment="1"/>
    <xf numFmtId="0" fontId="1" fillId="0" borderId="19" xfId="0" applyFont="1" applyBorder="1"/>
    <xf numFmtId="0" fontId="1" fillId="0" borderId="14" xfId="0" applyFont="1" applyBorder="1" applyAlignment="1"/>
    <xf numFmtId="0" fontId="1" fillId="0" borderId="15" xfId="0" applyFont="1" applyBorder="1"/>
    <xf numFmtId="0" fontId="1" fillId="0" borderId="16" xfId="0" applyFont="1" applyBorder="1"/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5" fillId="0" borderId="18" xfId="0" applyFont="1" applyBorder="1"/>
    <xf numFmtId="0" fontId="5" fillId="0" borderId="19" xfId="0" applyFont="1" applyBorder="1"/>
    <xf numFmtId="0" fontId="1" fillId="2" borderId="11" xfId="0" applyFont="1" applyFill="1" applyBorder="1"/>
    <xf numFmtId="0" fontId="1" fillId="2" borderId="17" xfId="0" applyFont="1" applyFill="1" applyBorder="1"/>
    <xf numFmtId="0" fontId="1" fillId="2" borderId="12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9" xfId="0" applyFont="1" applyFill="1" applyBorder="1"/>
    <xf numFmtId="0" fontId="2" fillId="0" borderId="11" xfId="0" applyFont="1" applyBorder="1" applyAlignment="1">
      <alignment horizontal="center" vertical="center" wrapText="1"/>
    </xf>
    <xf numFmtId="0" fontId="11" fillId="0" borderId="0" xfId="0" applyFont="1" applyAlignment="1"/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 wrapText="1"/>
    </xf>
    <xf numFmtId="0" fontId="12" fillId="0" borderId="22" xfId="0" applyFont="1" applyBorder="1" applyAlignment="1">
      <alignment horizontal="center" wrapText="1"/>
    </xf>
    <xf numFmtId="0" fontId="12" fillId="0" borderId="23" xfId="0" applyFont="1" applyBorder="1"/>
    <xf numFmtId="180" fontId="12" fillId="10" borderId="24" xfId="0" applyNumberFormat="1" applyFont="1" applyFill="1" applyBorder="1" applyAlignment="1">
      <alignment horizontal="center" vertical="center"/>
    </xf>
    <xf numFmtId="180" fontId="12" fillId="10" borderId="25" xfId="0" applyNumberFormat="1" applyFont="1" applyFill="1" applyBorder="1" applyAlignment="1">
      <alignment horizontal="center" vertical="center"/>
    </xf>
    <xf numFmtId="180" fontId="12" fillId="11" borderId="25" xfId="0" applyNumberFormat="1" applyFont="1" applyFill="1" applyBorder="1" applyAlignment="1">
      <alignment horizontal="center" vertical="center"/>
    </xf>
    <xf numFmtId="180" fontId="12" fillId="11" borderId="26" xfId="0" applyNumberFormat="1" applyFont="1" applyFill="1" applyBorder="1" applyAlignment="1">
      <alignment horizontal="center" vertical="center"/>
    </xf>
    <xf numFmtId="0" fontId="12" fillId="0" borderId="27" xfId="0" applyFont="1" applyBorder="1"/>
    <xf numFmtId="180" fontId="12" fillId="10" borderId="28" xfId="0" applyNumberFormat="1" applyFont="1" applyFill="1" applyBorder="1" applyAlignment="1">
      <alignment horizontal="center" vertical="center"/>
    </xf>
    <xf numFmtId="180" fontId="12" fillId="10" borderId="5" xfId="0" applyNumberFormat="1" applyFont="1" applyFill="1" applyBorder="1" applyAlignment="1">
      <alignment horizontal="center" vertical="center"/>
    </xf>
    <xf numFmtId="180" fontId="12" fillId="11" borderId="5" xfId="0" applyNumberFormat="1" applyFont="1" applyFill="1" applyBorder="1" applyAlignment="1">
      <alignment horizontal="center" vertical="center"/>
    </xf>
    <xf numFmtId="180" fontId="12" fillId="11" borderId="29" xfId="0" applyNumberFormat="1" applyFont="1" applyFill="1" applyBorder="1" applyAlignment="1">
      <alignment horizontal="center" vertical="center"/>
    </xf>
    <xf numFmtId="0" fontId="12" fillId="12" borderId="27" xfId="0" applyFont="1" applyFill="1" applyBorder="1"/>
    <xf numFmtId="180" fontId="12" fillId="12" borderId="28" xfId="0" applyNumberFormat="1" applyFont="1" applyFill="1" applyBorder="1" applyAlignment="1">
      <alignment horizontal="center" vertical="center"/>
    </xf>
    <xf numFmtId="180" fontId="12" fillId="12" borderId="5" xfId="0" applyNumberFormat="1" applyFont="1" applyFill="1" applyBorder="1" applyAlignment="1">
      <alignment horizontal="center" vertical="center"/>
    </xf>
    <xf numFmtId="180" fontId="12" fillId="13" borderId="5" xfId="0" applyNumberFormat="1" applyFont="1" applyFill="1" applyBorder="1" applyAlignment="1">
      <alignment horizontal="center" vertical="center"/>
    </xf>
    <xf numFmtId="180" fontId="12" fillId="13" borderId="29" xfId="0" applyNumberFormat="1" applyFont="1" applyFill="1" applyBorder="1" applyAlignment="1">
      <alignment horizontal="center" vertical="center"/>
    </xf>
    <xf numFmtId="0" fontId="12" fillId="14" borderId="27" xfId="0" applyFont="1" applyFill="1" applyBorder="1"/>
    <xf numFmtId="180" fontId="12" fillId="12" borderId="28" xfId="0" applyNumberFormat="1" applyFont="1" applyFill="1" applyBorder="1" applyAlignment="1">
      <alignment horizontal="center"/>
    </xf>
    <xf numFmtId="180" fontId="12" fillId="13" borderId="5" xfId="0" applyNumberFormat="1" applyFont="1" applyFill="1" applyBorder="1" applyAlignment="1">
      <alignment horizontal="center"/>
    </xf>
    <xf numFmtId="180" fontId="12" fillId="13" borderId="29" xfId="0" applyNumberFormat="1" applyFont="1" applyFill="1" applyBorder="1" applyAlignment="1">
      <alignment horizontal="center"/>
    </xf>
    <xf numFmtId="0" fontId="13" fillId="0" borderId="0" xfId="0" applyFont="1"/>
    <xf numFmtId="180" fontId="12" fillId="12" borderId="5" xfId="0" applyNumberFormat="1" applyFont="1" applyFill="1" applyBorder="1" applyAlignment="1">
      <alignment horizontal="center"/>
    </xf>
    <xf numFmtId="180" fontId="12" fillId="0" borderId="30" xfId="0" applyNumberFormat="1" applyFont="1" applyBorder="1" applyAlignment="1">
      <alignment horizontal="center"/>
    </xf>
    <xf numFmtId="180" fontId="12" fillId="0" borderId="31" xfId="0" applyNumberFormat="1" applyFont="1" applyBorder="1" applyAlignment="1">
      <alignment horizontal="center"/>
    </xf>
    <xf numFmtId="180" fontId="12" fillId="0" borderId="32" xfId="0" applyNumberFormat="1" applyFont="1" applyBorder="1" applyAlignment="1">
      <alignment horizontal="center"/>
    </xf>
    <xf numFmtId="0" fontId="0" fillId="15" borderId="5" xfId="0" applyFont="1" applyFill="1" applyBorder="1" applyAlignment="1">
      <alignment horizontal="center" vertical="center"/>
    </xf>
    <xf numFmtId="180" fontId="0" fillId="7" borderId="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right"/>
    </xf>
    <xf numFmtId="0" fontId="11" fillId="15" borderId="5" xfId="0" applyFont="1" applyFill="1" applyBorder="1" applyAlignment="1">
      <alignment horizontal="right"/>
    </xf>
    <xf numFmtId="180" fontId="0" fillId="0" borderId="5" xfId="0" applyNumberFormat="1" applyFont="1" applyBorder="1" applyAlignment="1">
      <alignment horizontal="center" vertical="center"/>
    </xf>
    <xf numFmtId="0" fontId="11" fillId="15" borderId="5" xfId="0" applyFont="1" applyFill="1" applyBorder="1" applyAlignment="1">
      <alignment horizontal="left" vertical="center"/>
    </xf>
    <xf numFmtId="180" fontId="11" fillId="15" borderId="1" xfId="0" applyNumberFormat="1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4" xfId="0" applyFont="1" applyBorder="1"/>
    <xf numFmtId="0" fontId="0" fillId="14" borderId="5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/>
    </xf>
    <xf numFmtId="0" fontId="0" fillId="0" borderId="5" xfId="0" applyFont="1" applyBorder="1"/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4" fillId="0" borderId="17" xfId="0" applyFont="1" applyBorder="1"/>
    <xf numFmtId="0" fontId="14" fillId="0" borderId="12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180" fontId="0" fillId="15" borderId="11" xfId="0" applyNumberFormat="1" applyFont="1" applyFill="1" applyBorder="1" applyAlignment="1">
      <alignment horizontal="center" vertical="center"/>
    </xf>
    <xf numFmtId="0" fontId="0" fillId="0" borderId="18" xfId="0" applyFont="1" applyBorder="1" applyAlignment="1"/>
    <xf numFmtId="180" fontId="0" fillId="15" borderId="0" xfId="0" applyNumberFormat="1" applyFont="1" applyFill="1" applyAlignment="1">
      <alignment horizontal="center"/>
    </xf>
    <xf numFmtId="0" fontId="0" fillId="0" borderId="19" xfId="0" applyFont="1" applyBorder="1"/>
    <xf numFmtId="0" fontId="0" fillId="0" borderId="14" xfId="0" applyFont="1" applyBorder="1" applyAlignment="1"/>
    <xf numFmtId="0" fontId="0" fillId="0" borderId="15" xfId="0" applyFont="1" applyBorder="1"/>
    <xf numFmtId="180" fontId="0" fillId="15" borderId="15" xfId="0" applyNumberFormat="1" applyFont="1" applyFill="1" applyBorder="1" applyAlignment="1">
      <alignment horizontal="center"/>
    </xf>
    <xf numFmtId="0" fontId="0" fillId="0" borderId="16" xfId="0" applyFont="1" applyBorder="1"/>
    <xf numFmtId="180" fontId="0" fillId="1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5" xfId="0" applyFont="1" applyBorder="1" applyAlignment="1"/>
    <xf numFmtId="0" fontId="0" fillId="0" borderId="12" xfId="0" applyFont="1" applyBorder="1"/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/>
    <xf numFmtId="0" fontId="0" fillId="0" borderId="0" xfId="0" applyFont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180" fontId="0" fillId="5" borderId="5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16" borderId="11" xfId="0" applyFont="1" applyFill="1" applyBorder="1" applyAlignment="1">
      <alignment horizontal="center" vertical="center" wrapText="1"/>
    </xf>
    <xf numFmtId="0" fontId="0" fillId="16" borderId="0" xfId="0" applyFont="1" applyFill="1"/>
    <xf numFmtId="180" fontId="0" fillId="17" borderId="5" xfId="0" applyNumberFormat="1" applyFont="1" applyFill="1" applyBorder="1" applyAlignment="1">
      <alignment horizontal="center" vertical="center"/>
    </xf>
    <xf numFmtId="0" fontId="0" fillId="6" borderId="0" xfId="0" applyFont="1" applyFill="1"/>
    <xf numFmtId="0" fontId="11" fillId="0" borderId="0" xfId="0" applyFont="1" applyAlignment="1">
      <alignment horizontal="center"/>
    </xf>
    <xf numFmtId="0" fontId="0" fillId="14" borderId="5" xfId="0" applyFont="1" applyFill="1" applyBorder="1" applyAlignment="1">
      <alignment horizontal="center" vertical="center" wrapText="1"/>
    </xf>
    <xf numFmtId="0" fontId="0" fillId="18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80" fontId="0" fillId="0" borderId="5" xfId="0" applyNumberFormat="1" applyFont="1" applyBorder="1" applyAlignment="1">
      <alignment horizontal="center" vertical="center" wrapText="1"/>
    </xf>
    <xf numFmtId="0" fontId="0" fillId="3" borderId="5" xfId="0" applyFont="1" applyFill="1" applyBorder="1" applyAlignment="1"/>
    <xf numFmtId="0" fontId="15" fillId="19" borderId="0" xfId="0" applyFont="1" applyFill="1" applyAlignment="1">
      <alignment horizontal="center" vertical="center"/>
    </xf>
    <xf numFmtId="0" fontId="0" fillId="5" borderId="5" xfId="0" applyFont="1" applyFill="1" applyBorder="1" applyAlignment="1"/>
    <xf numFmtId="0" fontId="0" fillId="0" borderId="11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2" fillId="0" borderId="33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2400" b="1" i="0" u="none" strike="noStrike" kern="1200" baseline="0">
                <a:solidFill>
                  <a:srgbClr val="757575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2400" b="1">
                <a:solidFill>
                  <a:srgbClr val="757575"/>
                </a:solidFill>
                <a:latin typeface="Arial" panose="020B0604020202020204"/>
              </a:rPr>
              <a:t>Трёхуровневое сглаживание</a:t>
            </a:r>
            <a:endParaRPr sz="2400" b="1">
              <a:solidFill>
                <a:srgbClr val="757575"/>
              </a:solidFill>
              <a:latin typeface="Arial" panose="020B060402020202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'Равновесные модели FC №1'!$E$4</c:f>
              <c:strCache>
                <c:ptCount val="1"/>
                <c:pt idx="0">
                  <c:v>Доход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'Равновесные модели FC №1'!$E$5:$E$29</c:f>
              <c:numCache>
                <c:formatCode>General</c:formatCode>
                <c:ptCount val="25"/>
                <c:pt idx="0">
                  <c:v>25800</c:v>
                </c:pt>
                <c:pt idx="1">
                  <c:v>25875</c:v>
                </c:pt>
                <c:pt idx="2">
                  <c:v>26000</c:v>
                </c:pt>
                <c:pt idx="3">
                  <c:v>26000</c:v>
                </c:pt>
                <c:pt idx="4">
                  <c:v>26400</c:v>
                </c:pt>
                <c:pt idx="5">
                  <c:v>27200</c:v>
                </c:pt>
                <c:pt idx="6">
                  <c:v>27250</c:v>
                </c:pt>
                <c:pt idx="7">
                  <c:v>27275</c:v>
                </c:pt>
                <c:pt idx="8">
                  <c:v>27300</c:v>
                </c:pt>
                <c:pt idx="9">
                  <c:v>27300</c:v>
                </c:pt>
                <c:pt idx="10">
                  <c:v>27400</c:v>
                </c:pt>
                <c:pt idx="11">
                  <c:v>27500</c:v>
                </c:pt>
                <c:pt idx="12">
                  <c:v>27500</c:v>
                </c:pt>
                <c:pt idx="13">
                  <c:v>28000</c:v>
                </c:pt>
                <c:pt idx="14">
                  <c:v>28000</c:v>
                </c:pt>
                <c:pt idx="15">
                  <c:v>28000</c:v>
                </c:pt>
                <c:pt idx="16">
                  <c:v>28000</c:v>
                </c:pt>
                <c:pt idx="17">
                  <c:v>28000</c:v>
                </c:pt>
                <c:pt idx="18">
                  <c:v>29000</c:v>
                </c:pt>
                <c:pt idx="19">
                  <c:v>29000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'Равновесные модели FC №1'!$I$4</c:f>
              <c:strCache>
                <c:ptCount val="1"/>
                <c:pt idx="0">
                  <c:v>По доходу (Ô)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'Равновесные модели FC №1'!$I$5:$I$27</c:f>
              <c:numCache>
                <c:formatCode>General</c:formatCode>
                <c:ptCount val="23"/>
                <c:pt idx="1" c:formatCode="0.000">
                  <c:v>25891.6666666667</c:v>
                </c:pt>
                <c:pt idx="2" c:formatCode="0.000">
                  <c:v>25958.3333333333</c:v>
                </c:pt>
                <c:pt idx="3" c:formatCode="0.000">
                  <c:v>26133.3333333333</c:v>
                </c:pt>
                <c:pt idx="4" c:formatCode="0.000">
                  <c:v>26533.3333333333</c:v>
                </c:pt>
                <c:pt idx="5" c:formatCode="0.000">
                  <c:v>26950</c:v>
                </c:pt>
                <c:pt idx="6" c:formatCode="0.000">
                  <c:v>27241.6666666667</c:v>
                </c:pt>
                <c:pt idx="7" c:formatCode="0.000">
                  <c:v>27275</c:v>
                </c:pt>
                <c:pt idx="8" c:formatCode="0.000">
                  <c:v>27291.6666666667</c:v>
                </c:pt>
                <c:pt idx="9" c:formatCode="0.000">
                  <c:v>27333.3333333333</c:v>
                </c:pt>
                <c:pt idx="10" c:formatCode="0.000">
                  <c:v>27400</c:v>
                </c:pt>
                <c:pt idx="11" c:formatCode="0.000">
                  <c:v>27466.6666666667</c:v>
                </c:pt>
                <c:pt idx="12" c:formatCode="0.000">
                  <c:v>27666.6666666667</c:v>
                </c:pt>
                <c:pt idx="13" c:formatCode="0.000">
                  <c:v>27833.3333333333</c:v>
                </c:pt>
                <c:pt idx="14" c:formatCode="0.000">
                  <c:v>28000</c:v>
                </c:pt>
                <c:pt idx="15" c:formatCode="0.000">
                  <c:v>28000</c:v>
                </c:pt>
                <c:pt idx="16" c:formatCode="0.000">
                  <c:v>28000</c:v>
                </c:pt>
                <c:pt idx="17" c:formatCode="0.000">
                  <c:v>28333.3333333333</c:v>
                </c:pt>
                <c:pt idx="18" c:formatCode="0.000">
                  <c:v>28666.6666666667</c:v>
                </c:pt>
                <c:pt idx="19" c:formatCode="0.000">
                  <c:v>29000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02144272"/>
        <c:axId val="1155824759"/>
      </c:lineChart>
      <c:catAx>
        <c:axId val="170214427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55824759"/>
        <c:crosses val="autoZero"/>
        <c:auto val="1"/>
        <c:lblAlgn val="ctr"/>
        <c:lblOffset val="100"/>
        <c:noMultiLvlLbl val="0"/>
      </c:catAx>
      <c:valAx>
        <c:axId val="11558247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ru-RU" sz="14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0">
                    <a:solidFill>
                      <a:srgbClr val="000000"/>
                    </a:solidFill>
                    <a:latin typeface="+mn-lt"/>
                  </a:rPr>
                  <a:t>Доход</a:t>
                </a:r>
                <a:endParaRPr sz="1400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21442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24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4bed7a-0501-4119-b968-591c1339b84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447675</xdr:colOff>
      <xdr:row>158</xdr:row>
      <xdr:rowOff>66675</xdr:rowOff>
    </xdr:from>
    <xdr:ext cx="3867150" cy="742950"/>
    <xdr:pic>
      <xdr:nvPicPr>
        <xdr:cNvPr id="2" name="image4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887200" y="31718250"/>
          <a:ext cx="386715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149</xdr:row>
      <xdr:rowOff>476250</xdr:rowOff>
    </xdr:from>
    <xdr:ext cx="3467100" cy="819150"/>
    <xdr:pic>
      <xdr:nvPicPr>
        <xdr:cNvPr id="3" name="image5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1791950" y="30051375"/>
          <a:ext cx="3467100" cy="8191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17</xdr:row>
      <xdr:rowOff>171450</xdr:rowOff>
    </xdr:from>
    <xdr:ext cx="1885950" cy="657225"/>
    <xdr:pic>
      <xdr:nvPicPr>
        <xdr:cNvPr id="4" name="image2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1687175" y="3648075"/>
          <a:ext cx="18859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52</xdr:row>
      <xdr:rowOff>19050</xdr:rowOff>
    </xdr:from>
    <xdr:ext cx="1724025" cy="676275"/>
    <xdr:pic>
      <xdr:nvPicPr>
        <xdr:cNvPr id="5" name="image12.png" title="Изображение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7258050" y="10467975"/>
          <a:ext cx="172402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46</xdr:row>
      <xdr:rowOff>38100</xdr:rowOff>
    </xdr:from>
    <xdr:ext cx="561975" cy="342900"/>
    <xdr:pic>
      <xdr:nvPicPr>
        <xdr:cNvPr id="6" name="image1.png" title="Изображение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7258050" y="9286875"/>
          <a:ext cx="561975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69</xdr:row>
      <xdr:rowOff>200025</xdr:rowOff>
    </xdr:from>
    <xdr:ext cx="2324100" cy="657225"/>
    <xdr:pic>
      <xdr:nvPicPr>
        <xdr:cNvPr id="7" name="image7.png" title="Изображение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11610975" y="14049375"/>
          <a:ext cx="23241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28</xdr:row>
      <xdr:rowOff>190500</xdr:rowOff>
    </xdr:from>
    <xdr:ext cx="6419850" cy="695325"/>
    <xdr:pic>
      <xdr:nvPicPr>
        <xdr:cNvPr id="8" name="image11.png" title="Изображение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5048250" y="5838825"/>
          <a:ext cx="64198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39</xdr:row>
      <xdr:rowOff>161925</xdr:rowOff>
    </xdr:from>
    <xdr:ext cx="2857500" cy="1704975"/>
    <xdr:pic>
      <xdr:nvPicPr>
        <xdr:cNvPr id="9" name="image3.png" title="Изображение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11791950" y="8010525"/>
          <a:ext cx="2857500" cy="17049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54</xdr:row>
      <xdr:rowOff>123825</xdr:rowOff>
    </xdr:from>
    <xdr:ext cx="2705100" cy="1276350"/>
    <xdr:pic>
      <xdr:nvPicPr>
        <xdr:cNvPr id="10" name="image10.png" title="Изображение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11553825" y="10972800"/>
          <a:ext cx="27051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1924050</xdr:colOff>
      <xdr:row>24</xdr:row>
      <xdr:rowOff>38100</xdr:rowOff>
    </xdr:from>
    <xdr:ext cx="4448175" cy="657225"/>
    <xdr:pic>
      <xdr:nvPicPr>
        <xdr:cNvPr id="11" name="image6.png" title="Изображение"/>
        <xdr:cNvPicPr preferRelativeResize="0"/>
      </xdr:nvPicPr>
      <xdr:blipFill>
        <a:blip r:embed="rId10" cstate="print"/>
        <a:stretch>
          <a:fillRect/>
        </a:stretch>
      </xdr:blipFill>
      <xdr:spPr>
        <a:xfrm>
          <a:off x="11410950" y="4886325"/>
          <a:ext cx="44481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0</xdr:rowOff>
    </xdr:from>
    <xdr:ext cx="2181225" cy="666750"/>
    <xdr:pic>
      <xdr:nvPicPr>
        <xdr:cNvPr id="12" name="image9.png" title="Изображение"/>
        <xdr:cNvPicPr preferRelativeResize="0"/>
      </xdr:nvPicPr>
      <xdr:blipFill>
        <a:blip r:embed="rId11" cstate="print"/>
        <a:stretch>
          <a:fillRect/>
        </a:stretch>
      </xdr:blipFill>
      <xdr:spPr>
        <a:xfrm>
          <a:off x="12372975" y="22850475"/>
          <a:ext cx="218122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111</xdr:row>
      <xdr:rowOff>38100</xdr:rowOff>
    </xdr:from>
    <xdr:ext cx="2162175" cy="885825"/>
    <xdr:pic>
      <xdr:nvPicPr>
        <xdr:cNvPr id="13" name="image8.png" title="Изображение"/>
        <xdr:cNvPicPr preferRelativeResize="0"/>
      </xdr:nvPicPr>
      <xdr:blipFill>
        <a:blip r:embed="rId12" cstate="print"/>
        <a:stretch>
          <a:fillRect/>
        </a:stretch>
      </xdr:blipFill>
      <xdr:spPr>
        <a:xfrm>
          <a:off x="14735175" y="22288500"/>
          <a:ext cx="2162175" cy="8858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57150</xdr:colOff>
      <xdr:row>38</xdr:row>
      <xdr:rowOff>76200</xdr:rowOff>
    </xdr:from>
    <xdr:ext cx="5715000" cy="3533775"/>
    <xdr:graphicFrame>
      <xdr:nvGraphicFramePr>
        <xdr:cNvPr id="1564811355" name="Chart 1" title="Диаграмма"/>
        <xdr:cNvGraphicFramePr/>
      </xdr:nvGraphicFramePr>
      <xdr:xfrm>
        <a:off x="10448925" y="74866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57150</xdr:colOff>
      <xdr:row>36</xdr:row>
      <xdr:rowOff>19050</xdr:rowOff>
    </xdr:from>
    <xdr:ext cx="8839200" cy="2609850"/>
    <xdr:pic>
      <xdr:nvPicPr>
        <xdr:cNvPr id="2" name="image19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14375" y="7029450"/>
          <a:ext cx="8839200" cy="2609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48</xdr:row>
      <xdr:rowOff>209550</xdr:rowOff>
    </xdr:from>
    <xdr:ext cx="9572625" cy="1047750"/>
    <xdr:pic>
      <xdr:nvPicPr>
        <xdr:cNvPr id="3" name="image13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714375" y="9610725"/>
          <a:ext cx="9572625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31</xdr:row>
      <xdr:rowOff>47625</xdr:rowOff>
    </xdr:from>
    <xdr:ext cx="8029575" cy="3248025"/>
    <xdr:pic>
      <xdr:nvPicPr>
        <xdr:cNvPr id="4" name="image14.png" title="Изображение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6954500" y="6057900"/>
          <a:ext cx="8029575" cy="32480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62</xdr:row>
      <xdr:rowOff>152400</xdr:rowOff>
    </xdr:from>
    <xdr:ext cx="8220075" cy="2181225"/>
    <xdr:pic>
      <xdr:nvPicPr>
        <xdr:cNvPr id="5" name="image17.png" title="Изображение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5001875" y="12363450"/>
          <a:ext cx="822007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72</xdr:row>
      <xdr:rowOff>180975</xdr:rowOff>
    </xdr:from>
    <xdr:ext cx="6553200" cy="2552700"/>
    <xdr:pic>
      <xdr:nvPicPr>
        <xdr:cNvPr id="6" name="image18.png" title="Изображение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15744825" y="14392275"/>
          <a:ext cx="6553200" cy="2552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95</xdr:row>
      <xdr:rowOff>114300</xdr:rowOff>
    </xdr:from>
    <xdr:ext cx="8191500" cy="3600450"/>
    <xdr:pic>
      <xdr:nvPicPr>
        <xdr:cNvPr id="7" name="image15.png" title="Изображение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8677275" y="18926175"/>
          <a:ext cx="8191500" cy="3600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94</xdr:row>
      <xdr:rowOff>66675</xdr:rowOff>
    </xdr:from>
    <xdr:ext cx="2076450" cy="581025"/>
    <xdr:pic>
      <xdr:nvPicPr>
        <xdr:cNvPr id="8" name="image16.png" title="Изображение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714375" y="18678525"/>
          <a:ext cx="20764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107</xdr:row>
      <xdr:rowOff>333375</xdr:rowOff>
    </xdr:from>
    <xdr:ext cx="6210300" cy="666750"/>
    <xdr:pic>
      <xdr:nvPicPr>
        <xdr:cNvPr id="9" name="image20.png" title="Изображение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657225" y="21412200"/>
          <a:ext cx="62103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914400</xdr:colOff>
      <xdr:row>28</xdr:row>
      <xdr:rowOff>200025</xdr:rowOff>
    </xdr:from>
    <xdr:ext cx="2076450" cy="581025"/>
    <xdr:pic>
      <xdr:nvPicPr>
        <xdr:cNvPr id="10" name="image16.png" title="Изображение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2867025" y="5610225"/>
          <a:ext cx="2076450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1000"/>
  <sheetViews>
    <sheetView workbookViewId="0">
      <selection activeCell="A1" sqref="A1"/>
    </sheetView>
  </sheetViews>
  <sheetFormatPr defaultColWidth="14.4285714285714" defaultRowHeight="15" customHeight="1"/>
  <cols>
    <col min="1" max="1" width="41.1428571428571" customWidth="1"/>
    <col min="2" max="2" width="33.2857142857143" customWidth="1"/>
    <col min="3" max="3" width="33.7142857142857" customWidth="1"/>
    <col min="4" max="4" width="34.1428571428571" customWidth="1"/>
    <col min="5" max="5" width="29.2857142857143" customWidth="1"/>
    <col min="6" max="7" width="14" customWidth="1"/>
    <col min="8" max="9" width="8.71428571428571" customWidth="1"/>
    <col min="10" max="10" width="10.4285714285714" customWidth="1"/>
    <col min="11" max="11" width="8.71428571428571" customWidth="1"/>
    <col min="12" max="12" width="13.1428571428571" customWidth="1"/>
    <col min="13" max="26" width="8.71428571428571" customWidth="1"/>
  </cols>
  <sheetData>
    <row r="7" ht="15.75" spans="2:2">
      <c r="B7" s="110" t="s">
        <v>0</v>
      </c>
    </row>
    <row r="8" ht="32.25" customHeight="1" spans="1:15">
      <c r="A8" s="111" t="s">
        <v>1</v>
      </c>
      <c r="B8" s="112" t="s">
        <v>2</v>
      </c>
      <c r="C8" s="112" t="s">
        <v>3</v>
      </c>
      <c r="D8" s="112" t="s">
        <v>4</v>
      </c>
      <c r="E8" s="112" t="s">
        <v>5</v>
      </c>
      <c r="F8" s="113" t="s">
        <v>6</v>
      </c>
      <c r="G8" s="113" t="s">
        <v>7</v>
      </c>
      <c r="I8" s="161" t="s">
        <v>8</v>
      </c>
      <c r="J8" s="154"/>
      <c r="K8" s="154"/>
      <c r="L8" s="154"/>
      <c r="M8" s="154"/>
      <c r="N8" s="154"/>
      <c r="O8" s="155"/>
    </row>
    <row r="9" spans="1:15">
      <c r="A9" s="114" t="s">
        <v>2</v>
      </c>
      <c r="B9" s="115">
        <v>1800.604</v>
      </c>
      <c r="C9" s="116">
        <v>1196.764</v>
      </c>
      <c r="D9" s="116">
        <v>744.2</v>
      </c>
      <c r="E9" s="116">
        <v>1856.105</v>
      </c>
      <c r="F9" s="117">
        <f t="shared" ref="F9:F12" si="0">G9-E9-D9-C9-B9</f>
        <v>4084.861</v>
      </c>
      <c r="G9" s="118">
        <v>9682.534</v>
      </c>
      <c r="I9" s="162" t="s">
        <v>6</v>
      </c>
      <c r="K9" s="163">
        <f>SUM(F9:F12)</f>
        <v>15150.652</v>
      </c>
      <c r="O9" s="164"/>
    </row>
    <row r="10" spans="1:15">
      <c r="A10" s="119" t="s">
        <v>3</v>
      </c>
      <c r="B10" s="120">
        <v>1536.621</v>
      </c>
      <c r="C10" s="121">
        <v>1659.01</v>
      </c>
      <c r="D10" s="121">
        <v>485.1</v>
      </c>
      <c r="E10" s="121">
        <v>1060.39</v>
      </c>
      <c r="F10" s="122">
        <f t="shared" si="0"/>
        <v>2287.022</v>
      </c>
      <c r="G10" s="123">
        <v>7028.143</v>
      </c>
      <c r="I10" s="165" t="s">
        <v>9</v>
      </c>
      <c r="J10" s="166"/>
      <c r="K10" s="167">
        <f>SUM(B13:E15)</f>
        <v>15150.652</v>
      </c>
      <c r="L10" s="160"/>
      <c r="M10" s="166"/>
      <c r="N10" s="166"/>
      <c r="O10" s="168"/>
    </row>
    <row r="11" spans="1:7">
      <c r="A11" s="119" t="s">
        <v>10</v>
      </c>
      <c r="B11" s="120">
        <v>1002.515</v>
      </c>
      <c r="C11" s="121">
        <v>544</v>
      </c>
      <c r="D11" s="121">
        <v>901.56</v>
      </c>
      <c r="E11" s="121">
        <v>888.64</v>
      </c>
      <c r="F11" s="122">
        <f t="shared" si="0"/>
        <v>4067.435</v>
      </c>
      <c r="G11" s="123">
        <v>7404.15</v>
      </c>
    </row>
    <row r="12" spans="1:7">
      <c r="A12" s="119" t="s">
        <v>5</v>
      </c>
      <c r="B12" s="120">
        <v>921.956</v>
      </c>
      <c r="C12" s="121">
        <v>415.01</v>
      </c>
      <c r="D12" s="121">
        <v>284.22</v>
      </c>
      <c r="E12" s="121">
        <v>1058.76</v>
      </c>
      <c r="F12" s="122">
        <f t="shared" si="0"/>
        <v>4711.334</v>
      </c>
      <c r="G12" s="123">
        <v>7391.28</v>
      </c>
    </row>
    <row r="13" spans="1:15">
      <c r="A13" s="124" t="s">
        <v>11</v>
      </c>
      <c r="B13" s="125">
        <v>1735.695</v>
      </c>
      <c r="C13" s="126">
        <v>1047.422</v>
      </c>
      <c r="D13" s="126">
        <v>1350.975</v>
      </c>
      <c r="E13" s="126">
        <v>911</v>
      </c>
      <c r="F13" s="127"/>
      <c r="G13" s="128"/>
      <c r="I13" s="169" t="s">
        <v>12</v>
      </c>
      <c r="J13" s="145"/>
      <c r="K13" s="145"/>
      <c r="L13" s="145"/>
      <c r="M13" s="145"/>
      <c r="N13" s="145"/>
      <c r="O13" s="146"/>
    </row>
    <row r="14" spans="1:8">
      <c r="A14" s="129" t="s">
        <v>13</v>
      </c>
      <c r="B14" s="130">
        <f t="shared" ref="B14:E14" si="1">B16-SUM(B9:B13)-SUM(B15)</f>
        <v>1990.865</v>
      </c>
      <c r="C14" s="130">
        <f t="shared" si="1"/>
        <v>1851.711</v>
      </c>
      <c r="D14" s="130">
        <f t="shared" si="1"/>
        <v>3138.995</v>
      </c>
      <c r="E14" s="130">
        <f t="shared" si="1"/>
        <v>1340.385</v>
      </c>
      <c r="F14" s="131"/>
      <c r="G14" s="132"/>
      <c r="H14" s="133"/>
    </row>
    <row r="15" spans="1:7">
      <c r="A15" s="124" t="s">
        <v>14</v>
      </c>
      <c r="B15" s="130">
        <v>694.278</v>
      </c>
      <c r="C15" s="134">
        <v>314.226</v>
      </c>
      <c r="D15" s="134">
        <v>499.1</v>
      </c>
      <c r="E15" s="134">
        <v>276</v>
      </c>
      <c r="F15" s="131"/>
      <c r="G15" s="132"/>
    </row>
    <row r="16" ht="15.75" spans="1:7">
      <c r="A16" s="129" t="s">
        <v>7</v>
      </c>
      <c r="B16" s="135">
        <f>G9</f>
        <v>9682.534</v>
      </c>
      <c r="C16" s="136">
        <f>G10</f>
        <v>7028.143</v>
      </c>
      <c r="D16" s="136">
        <f>G11</f>
        <v>7404.15</v>
      </c>
      <c r="E16" s="136">
        <f>G12</f>
        <v>7391.28</v>
      </c>
      <c r="F16" s="136"/>
      <c r="G16" s="137"/>
    </row>
    <row r="18" spans="2:12">
      <c r="B18" s="110" t="s">
        <v>15</v>
      </c>
      <c r="I18" s="153" t="s">
        <v>16</v>
      </c>
      <c r="J18" s="154"/>
      <c r="K18" s="154"/>
      <c r="L18" s="155"/>
    </row>
    <row r="19" spans="2:12">
      <c r="B19" s="138" t="s">
        <v>17</v>
      </c>
      <c r="C19" s="138" t="s">
        <v>18</v>
      </c>
      <c r="D19" s="138" t="s">
        <v>19</v>
      </c>
      <c r="E19" s="138" t="s">
        <v>20</v>
      </c>
      <c r="I19" s="156"/>
      <c r="L19" s="157"/>
    </row>
    <row r="20" spans="2:12">
      <c r="B20" s="139">
        <f t="shared" ref="B20:E20" si="2">B9/B16</f>
        <v>0.185964128811735</v>
      </c>
      <c r="C20" s="139">
        <f t="shared" si="2"/>
        <v>0.17028168038129</v>
      </c>
      <c r="D20" s="139">
        <f t="shared" si="2"/>
        <v>0.100511199800112</v>
      </c>
      <c r="E20" s="139">
        <f t="shared" si="2"/>
        <v>0.251120915457133</v>
      </c>
      <c r="I20" s="156"/>
      <c r="L20" s="157"/>
    </row>
    <row r="21" ht="15.75" customHeight="1" spans="1:12">
      <c r="A21" s="140" t="s">
        <v>21</v>
      </c>
      <c r="B21" s="139">
        <f t="shared" ref="B21:E21" si="3">B10/B16</f>
        <v>0.158700294778206</v>
      </c>
      <c r="C21" s="139">
        <f t="shared" si="3"/>
        <v>0.236052396771096</v>
      </c>
      <c r="D21" s="139">
        <f t="shared" si="3"/>
        <v>0.0655173112376168</v>
      </c>
      <c r="E21" s="139">
        <f t="shared" si="3"/>
        <v>0.14346500200236</v>
      </c>
      <c r="I21" s="156"/>
      <c r="L21" s="157"/>
    </row>
    <row r="22" ht="15.75" customHeight="1" spans="2:12">
      <c r="B22" s="139">
        <f t="shared" ref="B22:E22" si="4">B11/B16</f>
        <v>0.103538495191445</v>
      </c>
      <c r="C22" s="139">
        <f t="shared" si="4"/>
        <v>0.0774030921112447</v>
      </c>
      <c r="D22" s="139">
        <f t="shared" si="4"/>
        <v>0.121764145783108</v>
      </c>
      <c r="E22" s="139">
        <f t="shared" si="4"/>
        <v>0.120228160751588</v>
      </c>
      <c r="I22" s="156"/>
      <c r="L22" s="157"/>
    </row>
    <row r="23" ht="15.75" customHeight="1" spans="2:12">
      <c r="B23" s="139">
        <f t="shared" ref="B23:C23" si="5">B12/B16</f>
        <v>0.0952184624396878</v>
      </c>
      <c r="C23" s="139">
        <f t="shared" si="5"/>
        <v>0.0590497376049406</v>
      </c>
      <c r="D23" s="139">
        <f>D12/G11</f>
        <v>0.0383865804987743</v>
      </c>
      <c r="E23" s="139">
        <f>E12/E16</f>
        <v>0.143244471864143</v>
      </c>
      <c r="I23" s="156"/>
      <c r="L23" s="157"/>
    </row>
    <row r="24" ht="15.75" customHeight="1" spans="1:12">
      <c r="A24" s="141" t="s">
        <v>22</v>
      </c>
      <c r="B24" s="142">
        <f t="shared" ref="B24:E24" si="6">SUM(B20:B23)</f>
        <v>0.543421381221073</v>
      </c>
      <c r="C24" s="142">
        <f t="shared" si="6"/>
        <v>0.542786906868571</v>
      </c>
      <c r="D24" s="142">
        <f t="shared" si="6"/>
        <v>0.326179237319611</v>
      </c>
      <c r="E24" s="142">
        <f t="shared" si="6"/>
        <v>0.658058550075224</v>
      </c>
      <c r="F24" s="143" t="s">
        <v>23</v>
      </c>
      <c r="I24" s="158"/>
      <c r="J24" s="159"/>
      <c r="K24" s="159"/>
      <c r="L24" s="160"/>
    </row>
    <row r="25" ht="15.75" customHeight="1" spans="2:5">
      <c r="B25" s="144" t="s">
        <v>24</v>
      </c>
      <c r="C25" s="145"/>
      <c r="D25" s="145"/>
      <c r="E25" s="146"/>
    </row>
    <row r="26" ht="15.75" customHeight="1"/>
    <row r="27" ht="15.75" customHeight="1"/>
    <row r="28" ht="15.75" customHeight="1" spans="1:5">
      <c r="A28" s="147" t="s">
        <v>25</v>
      </c>
      <c r="B28" s="148" t="s">
        <v>26</v>
      </c>
      <c r="C28" s="145"/>
      <c r="D28" s="145"/>
      <c r="E28" s="146"/>
    </row>
    <row r="29" ht="15.75" customHeight="1" spans="7:7">
      <c r="G29" s="149"/>
    </row>
    <row r="30" ht="15.75" customHeight="1" spans="2:2">
      <c r="B30" s="150" t="s">
        <v>27</v>
      </c>
    </row>
    <row r="31" ht="15.75" customHeight="1" spans="1:2">
      <c r="A31" s="150" t="s">
        <v>28</v>
      </c>
      <c r="B31" s="142">
        <f>F9*1.02</f>
        <v>4166.55822</v>
      </c>
    </row>
    <row r="32" ht="15.75" customHeight="1" spans="1:2">
      <c r="A32" s="150" t="s">
        <v>29</v>
      </c>
      <c r="B32" s="142">
        <f t="shared" ref="B32:B33" si="7">F10*1.019</f>
        <v>2330.475418</v>
      </c>
    </row>
    <row r="33" ht="15.75" customHeight="1" spans="1:2">
      <c r="A33" s="150" t="s">
        <v>30</v>
      </c>
      <c r="B33" s="142">
        <f t="shared" si="7"/>
        <v>4144.716265</v>
      </c>
    </row>
    <row r="34" ht="15.75" customHeight="1" spans="1:2">
      <c r="A34" s="150" t="s">
        <v>31</v>
      </c>
      <c r="B34" s="142">
        <f>F12*0.995</f>
        <v>4687.77733</v>
      </c>
    </row>
    <row r="35" ht="15.75" customHeight="1"/>
    <row r="36" ht="15.75" customHeight="1" spans="2:3">
      <c r="B36" s="150" t="s">
        <v>32</v>
      </c>
      <c r="C36" s="110" t="s">
        <v>33</v>
      </c>
    </row>
    <row r="37" ht="15.75" customHeight="1" spans="2:5">
      <c r="B37" s="139">
        <v>0.185964128811735</v>
      </c>
      <c r="C37" s="139">
        <v>0.17028168038129</v>
      </c>
      <c r="D37" s="139">
        <v>0.100511199800112</v>
      </c>
      <c r="E37" s="139">
        <v>0.251120915457133</v>
      </c>
    </row>
    <row r="38" ht="15.75" customHeight="1" spans="2:5">
      <c r="B38" s="139">
        <v>0.158700294778206</v>
      </c>
      <c r="C38" s="139">
        <v>0.236052396771096</v>
      </c>
      <c r="D38" s="139">
        <v>0.0655173112376168</v>
      </c>
      <c r="E38" s="139">
        <v>0.14346500200236</v>
      </c>
    </row>
    <row r="39" ht="15.75" customHeight="1" spans="2:5">
      <c r="B39" s="139">
        <v>0.103538495191445</v>
      </c>
      <c r="C39" s="139">
        <v>0.0774030921112447</v>
      </c>
      <c r="D39" s="139">
        <v>0.121764145783108</v>
      </c>
      <c r="E39" s="139">
        <v>0.120228160751588</v>
      </c>
    </row>
    <row r="40" ht="15.75" customHeight="1" spans="2:5">
      <c r="B40" s="139">
        <v>0.0952184624396878</v>
      </c>
      <c r="C40" s="139">
        <v>0.0590497376049406</v>
      </c>
      <c r="D40" s="139">
        <v>0.0383865804987743</v>
      </c>
      <c r="E40" s="139">
        <v>0.143244471864143</v>
      </c>
    </row>
    <row r="41" ht="15.75" customHeight="1"/>
    <row r="42" ht="15.75" customHeight="1" spans="2:3">
      <c r="B42" s="150" t="s">
        <v>34</v>
      </c>
      <c r="C42" s="110" t="s">
        <v>35</v>
      </c>
    </row>
    <row r="43" ht="15.75" customHeight="1" spans="2:5">
      <c r="B43" s="139">
        <f>1-0.185964128811735</f>
        <v>0.814035871188265</v>
      </c>
      <c r="C43" s="139">
        <f>0-0.17028168038129</f>
        <v>-0.17028168038129</v>
      </c>
      <c r="D43" s="139">
        <f>0-0.100511199800112</f>
        <v>-0.100511199800112</v>
      </c>
      <c r="E43" s="139">
        <f>0-0.251120915457133</f>
        <v>-0.251120915457133</v>
      </c>
    </row>
    <row r="44" ht="15.75" customHeight="1" spans="2:5">
      <c r="B44" s="139">
        <f>0-0.158700294778206</f>
        <v>-0.158700294778206</v>
      </c>
      <c r="C44" s="139">
        <f>1-0.236052396771096</f>
        <v>0.763947603228904</v>
      </c>
      <c r="D44" s="139">
        <f>0-0.0655173112376168</f>
        <v>-0.0655173112376168</v>
      </c>
      <c r="E44" s="139">
        <f>0-0.14346500200236</f>
        <v>-0.14346500200236</v>
      </c>
    </row>
    <row r="45" ht="15.75" customHeight="1" spans="2:5">
      <c r="B45" s="139">
        <f>0-0.103538495191445</f>
        <v>-0.103538495191445</v>
      </c>
      <c r="C45" s="139">
        <f>0-0.0774030921112447</f>
        <v>-0.0774030921112447</v>
      </c>
      <c r="D45" s="139">
        <f>1-0.121764145783108</f>
        <v>0.878235854216892</v>
      </c>
      <c r="E45" s="139">
        <f>0-0.120228160751588</f>
        <v>-0.120228160751588</v>
      </c>
    </row>
    <row r="46" ht="15.75" customHeight="1" spans="2:5">
      <c r="B46" s="139">
        <f>0-0.0952184624396878</f>
        <v>-0.0952184624396878</v>
      </c>
      <c r="C46" s="139">
        <f>0-0.0590497376049406</f>
        <v>-0.0590497376049406</v>
      </c>
      <c r="D46" s="139">
        <f>0-0.0383865804987743</f>
        <v>-0.0383865804987743</v>
      </c>
      <c r="E46" s="139">
        <f>1-0.143244471864143</f>
        <v>0.856755528135857</v>
      </c>
    </row>
    <row r="47" ht="15.75" customHeight="1" spans="2:2">
      <c r="B47" s="110" t="s">
        <v>36</v>
      </c>
    </row>
    <row r="48" ht="15.75" customHeight="1" spans="2:3">
      <c r="B48" s="151" t="s">
        <v>37</v>
      </c>
      <c r="C48" s="146"/>
    </row>
    <row r="49" ht="15.75" customHeight="1" spans="2:5">
      <c r="B49" s="139">
        <f t="array" ref="B49:E52">MINVERSE(B43:E46)</f>
        <v>1.3847074508309</v>
      </c>
      <c r="C49" s="139">
        <v>0.368073481052751</v>
      </c>
      <c r="D49" s="139">
        <v>0.207641375459549</v>
      </c>
      <c r="E49" s="139">
        <v>0.496639930625784</v>
      </c>
    </row>
    <row r="50" ht="15.75" customHeight="1" spans="2:5">
      <c r="B50" s="139">
        <v>0.341600483308362</v>
      </c>
      <c r="C50" s="139">
        <v>1.42949605704401</v>
      </c>
      <c r="D50" s="139">
        <v>0.161566911521189</v>
      </c>
      <c r="E50" s="139">
        <v>0.362169327416914</v>
      </c>
    </row>
    <row r="51" ht="15.75" customHeight="1" spans="2:5">
      <c r="B51" s="139">
        <v>0.218989202712763</v>
      </c>
      <c r="C51" s="139">
        <v>0.189632770124907</v>
      </c>
      <c r="D51" s="139">
        <v>1.18934416826407</v>
      </c>
      <c r="E51" s="139">
        <v>0.262841720026167</v>
      </c>
    </row>
    <row r="52" ht="15.75" customHeight="1" spans="2:5">
      <c r="B52" s="139">
        <v>0.187249891820756</v>
      </c>
      <c r="C52" s="139">
        <v>0.147927976464624</v>
      </c>
      <c r="D52" s="139">
        <v>0.0875006106584654</v>
      </c>
      <c r="E52" s="139">
        <v>1.25912801697852</v>
      </c>
    </row>
    <row r="53" ht="15.75" customHeight="1"/>
    <row r="54" ht="15.75" customHeight="1" spans="2:3">
      <c r="B54" s="151" t="s">
        <v>38</v>
      </c>
      <c r="C54" s="146"/>
    </row>
    <row r="55" ht="15.75" customHeight="1"/>
    <row r="56" ht="15.75" customHeight="1" spans="2:3">
      <c r="B56" s="152" t="s">
        <v>39</v>
      </c>
      <c r="C56" s="110" t="s">
        <v>40</v>
      </c>
    </row>
    <row r="57" ht="15.75" customHeight="1" spans="1:5">
      <c r="A57" s="150" t="s">
        <v>28</v>
      </c>
      <c r="B57" s="139">
        <f t="array" ref="B57:B60">MMULT(B49:E52,B31:B34)</f>
        <v>9816.00240528035</v>
      </c>
      <c r="C57" s="153" t="s">
        <v>41</v>
      </c>
      <c r="D57" s="154"/>
      <c r="E57" s="155"/>
    </row>
    <row r="58" ht="15.75" customHeight="1" spans="1:5">
      <c r="A58" s="150" t="s">
        <v>29</v>
      </c>
      <c r="B58" s="139">
        <v>7122.12189150746</v>
      </c>
      <c r="C58" s="156"/>
      <c r="E58" s="157"/>
    </row>
    <row r="59" ht="15.75" customHeight="1" spans="1:5">
      <c r="A59" s="150" t="s">
        <v>30</v>
      </c>
      <c r="B59" s="139">
        <v>7516.00334728132</v>
      </c>
      <c r="C59" s="156"/>
      <c r="E59" s="157"/>
    </row>
    <row r="60" ht="15.75" customHeight="1" spans="1:5">
      <c r="A60" s="150" t="s">
        <v>31</v>
      </c>
      <c r="B60" s="139">
        <v>7390.10706649851</v>
      </c>
      <c r="C60" s="158"/>
      <c r="D60" s="159"/>
      <c r="E60" s="160"/>
    </row>
    <row r="61" ht="15.75" customHeight="1"/>
    <row r="62" ht="15.75" customHeight="1" spans="1:5">
      <c r="A62" s="147" t="s">
        <v>42</v>
      </c>
      <c r="B62" s="148" t="s">
        <v>26</v>
      </c>
      <c r="C62" s="145"/>
      <c r="D62" s="145"/>
      <c r="E62" s="146"/>
    </row>
    <row r="63" ht="15.75" customHeight="1"/>
    <row r="64" ht="15.75" customHeight="1"/>
    <row r="65" ht="15.75" customHeight="1" spans="1:5">
      <c r="A65" s="170" t="s">
        <v>43</v>
      </c>
      <c r="B65" s="171" t="s">
        <v>44</v>
      </c>
      <c r="C65" s="172"/>
      <c r="D65" s="171" t="s">
        <v>45</v>
      </c>
      <c r="E65" s="172"/>
    </row>
    <row r="66" ht="15.75" customHeight="1" spans="2:5">
      <c r="B66" s="171" t="s">
        <v>46</v>
      </c>
      <c r="C66" s="168"/>
      <c r="D66" s="171" t="s">
        <v>47</v>
      </c>
      <c r="E66" s="168"/>
    </row>
    <row r="67" ht="15.75" customHeight="1"/>
    <row r="68" ht="15.75" customHeight="1"/>
    <row r="69" ht="15.75" customHeight="1" spans="2:2">
      <c r="B69" t="s">
        <v>48</v>
      </c>
    </row>
    <row r="70" ht="15.75" customHeight="1" spans="1:5">
      <c r="A70" s="173" t="s">
        <v>49</v>
      </c>
      <c r="B70" s="173" t="s">
        <v>2</v>
      </c>
      <c r="C70" s="173" t="s">
        <v>3</v>
      </c>
      <c r="D70" s="173" t="s">
        <v>10</v>
      </c>
      <c r="E70" s="173" t="s">
        <v>5</v>
      </c>
    </row>
    <row r="71" ht="15.75" customHeight="1" spans="1:5">
      <c r="A71" s="174" t="s">
        <v>50</v>
      </c>
      <c r="B71" s="139">
        <f>G9</f>
        <v>9682.534</v>
      </c>
      <c r="C71" s="139">
        <f>G10</f>
        <v>7028.143</v>
      </c>
      <c r="D71" s="139">
        <f>G11</f>
        <v>7404.15</v>
      </c>
      <c r="E71" s="139">
        <f>G12</f>
        <v>7391.28</v>
      </c>
    </row>
    <row r="72" ht="15.75" customHeight="1" spans="1:5">
      <c r="A72" s="174" t="s">
        <v>51</v>
      </c>
      <c r="B72" s="139">
        <f>F9</f>
        <v>4084.861</v>
      </c>
      <c r="C72" s="139">
        <f>F10</f>
        <v>2287.022</v>
      </c>
      <c r="D72" s="139">
        <f>F11</f>
        <v>4067.435</v>
      </c>
      <c r="E72" s="139">
        <f>F12</f>
        <v>4711.334</v>
      </c>
    </row>
    <row r="73" ht="15.75" customHeight="1" spans="1:5">
      <c r="A73" s="174" t="s">
        <v>52</v>
      </c>
      <c r="B73" s="139">
        <f>B57</f>
        <v>9816.00240528035</v>
      </c>
      <c r="C73" s="139">
        <f>B58</f>
        <v>7122.12189150746</v>
      </c>
      <c r="D73" s="139">
        <f>B59</f>
        <v>7516.00334728132</v>
      </c>
      <c r="E73" s="139">
        <f>B60</f>
        <v>7390.10706649851</v>
      </c>
    </row>
    <row r="74" ht="15.75" customHeight="1" spans="1:5">
      <c r="A74" s="174" t="s">
        <v>53</v>
      </c>
      <c r="B74" s="139">
        <f>B31</f>
        <v>4166.55822</v>
      </c>
      <c r="C74" s="139">
        <f>B32</f>
        <v>2330.475418</v>
      </c>
      <c r="D74" s="139">
        <f>B33</f>
        <v>4144.716265</v>
      </c>
      <c r="E74" s="139">
        <f>B34</f>
        <v>4687.77733</v>
      </c>
    </row>
    <row r="75" ht="15.75" customHeight="1"/>
    <row r="76" ht="15.75" customHeight="1" spans="2:3">
      <c r="B76" s="151" t="s">
        <v>54</v>
      </c>
      <c r="C76" s="146"/>
    </row>
    <row r="77" ht="15.75" customHeight="1"/>
    <row r="78" ht="15.75" customHeight="1" spans="2:4">
      <c r="B78" s="173" t="s">
        <v>55</v>
      </c>
      <c r="C78" s="173" t="s">
        <v>56</v>
      </c>
      <c r="D78" s="150" t="s">
        <v>57</v>
      </c>
    </row>
    <row r="79" ht="15.75" customHeight="1" spans="1:5">
      <c r="A79" s="150" t="s">
        <v>28</v>
      </c>
      <c r="B79" s="139">
        <f>B71/B72</f>
        <v>2.37034601666984</v>
      </c>
      <c r="C79" s="139">
        <f>B73/B74</f>
        <v>2.35590189479708</v>
      </c>
      <c r="D79" s="139">
        <f t="shared" ref="D79:D82" si="8">C79/B79</f>
        <v>0.99390632347717</v>
      </c>
      <c r="E79" s="175" t="s">
        <v>58</v>
      </c>
    </row>
    <row r="80" ht="15.75" customHeight="1" spans="1:5">
      <c r="A80" s="150" t="s">
        <v>29</v>
      </c>
      <c r="B80" s="139">
        <f>C71/C72</f>
        <v>3.0730543912564</v>
      </c>
      <c r="C80" s="139">
        <f>C73/C74</f>
        <v>3.05608110538219</v>
      </c>
      <c r="D80" s="139">
        <f t="shared" si="8"/>
        <v>0.994476737566863</v>
      </c>
      <c r="E80" s="175" t="s">
        <v>59</v>
      </c>
    </row>
    <row r="81" ht="15.75" customHeight="1" spans="1:5">
      <c r="A81" s="150" t="s">
        <v>30</v>
      </c>
      <c r="B81" s="139">
        <f>D71/D72</f>
        <v>1.82034869641433</v>
      </c>
      <c r="C81" s="139">
        <f>D73/D74</f>
        <v>1.81339393742103</v>
      </c>
      <c r="D81" s="139">
        <f t="shared" si="8"/>
        <v>0.996179435837212</v>
      </c>
      <c r="E81" s="175" t="s">
        <v>60</v>
      </c>
    </row>
    <row r="82" ht="15.75" customHeight="1" spans="1:5">
      <c r="A82" s="150" t="s">
        <v>31</v>
      </c>
      <c r="B82" s="139">
        <f>E71/E72</f>
        <v>1.56882955018685</v>
      </c>
      <c r="C82" s="139">
        <f>E73/E74</f>
        <v>1.57646290475544</v>
      </c>
      <c r="D82" s="139">
        <f t="shared" si="8"/>
        <v>1.0048656366574</v>
      </c>
      <c r="E82" s="175" t="s">
        <v>61</v>
      </c>
    </row>
    <row r="83" ht="15.75" customHeight="1"/>
    <row r="84" ht="15.75" customHeight="1" spans="2:3">
      <c r="B84" s="151" t="s">
        <v>62</v>
      </c>
      <c r="C84" s="146"/>
    </row>
    <row r="85" ht="15.75" customHeight="1" spans="2:2">
      <c r="B85" s="110" t="s">
        <v>63</v>
      </c>
    </row>
    <row r="86" ht="15.75" customHeight="1"/>
    <row r="87" ht="15.75" customHeight="1"/>
    <row r="88" ht="15.75" customHeight="1" spans="1:5">
      <c r="A88" s="147" t="s">
        <v>64</v>
      </c>
      <c r="B88" s="148" t="s">
        <v>65</v>
      </c>
      <c r="C88" s="145"/>
      <c r="D88" s="145"/>
      <c r="E88" s="146"/>
    </row>
    <row r="89" ht="15.75" customHeight="1"/>
    <row r="90" ht="15.75" customHeight="1" spans="2:4">
      <c r="B90" s="151" t="s">
        <v>66</v>
      </c>
      <c r="C90" s="145"/>
      <c r="D90" s="146"/>
    </row>
    <row r="91" ht="15.75" customHeight="1" spans="1:4">
      <c r="A91" s="173" t="s">
        <v>67</v>
      </c>
      <c r="B91" s="173" t="s">
        <v>68</v>
      </c>
      <c r="C91" s="173" t="s">
        <v>69</v>
      </c>
      <c r="D91" s="176" t="s">
        <v>70</v>
      </c>
    </row>
    <row r="92" ht="15.75" customHeight="1" spans="1:4">
      <c r="A92" s="150" t="s">
        <v>28</v>
      </c>
      <c r="B92" s="177">
        <v>1735.695</v>
      </c>
      <c r="C92" s="139">
        <f t="shared" ref="C92:C95" si="9">G9</f>
        <v>9682.534</v>
      </c>
      <c r="D92" s="139">
        <v>9816.00240528036</v>
      </c>
    </row>
    <row r="93" ht="15.75" customHeight="1" spans="1:4">
      <c r="A93" s="150" t="s">
        <v>29</v>
      </c>
      <c r="B93" s="177">
        <v>1047.422</v>
      </c>
      <c r="C93" s="139">
        <f t="shared" si="9"/>
        <v>7028.143</v>
      </c>
      <c r="D93" s="139">
        <v>7122.12189150746</v>
      </c>
    </row>
    <row r="94" ht="15.75" customHeight="1" spans="1:4">
      <c r="A94" s="150" t="s">
        <v>30</v>
      </c>
      <c r="B94" s="177">
        <v>1350.975</v>
      </c>
      <c r="C94" s="139">
        <f t="shared" si="9"/>
        <v>7404.15</v>
      </c>
      <c r="D94" s="139">
        <v>7516.00334728131</v>
      </c>
    </row>
    <row r="95" ht="15.75" customHeight="1" spans="1:4">
      <c r="A95" s="150" t="s">
        <v>31</v>
      </c>
      <c r="B95" s="177">
        <v>911</v>
      </c>
      <c r="C95" s="139">
        <f t="shared" si="9"/>
        <v>7391.28</v>
      </c>
      <c r="D95" s="139">
        <v>7390.10706649851</v>
      </c>
    </row>
    <row r="96" ht="15.75" customHeight="1"/>
    <row r="97" ht="15.75" customHeight="1" spans="2:3">
      <c r="B97" s="178" t="s">
        <v>71</v>
      </c>
      <c r="C97" s="146"/>
    </row>
    <row r="98" ht="15.75" customHeight="1" spans="2:9">
      <c r="B98" s="173" t="s">
        <v>72</v>
      </c>
      <c r="C98" s="173" t="s">
        <v>73</v>
      </c>
      <c r="D98" s="179" t="s">
        <v>74</v>
      </c>
      <c r="E98" s="155"/>
      <c r="G98" s="180"/>
      <c r="I98" s="110" t="s">
        <v>75</v>
      </c>
    </row>
    <row r="99" ht="15.75" customHeight="1" spans="1:7">
      <c r="A99" s="150" t="s">
        <v>28</v>
      </c>
      <c r="B99" s="181">
        <f t="shared" ref="B99:B102" si="10">B92/C92</f>
        <v>0.179260408483977</v>
      </c>
      <c r="C99" s="177">
        <f t="shared" ref="C99:C102" si="11">(B99*1.032)*D92</f>
        <v>1815.92846007747</v>
      </c>
      <c r="D99" s="156"/>
      <c r="E99" s="157"/>
      <c r="G99" s="180"/>
    </row>
    <row r="100" ht="15.75" customHeight="1" spans="1:9">
      <c r="A100" s="150" t="s">
        <v>29</v>
      </c>
      <c r="B100" s="181">
        <f t="shared" si="10"/>
        <v>0.149032539605412</v>
      </c>
      <c r="C100" s="177">
        <f t="shared" si="11"/>
        <v>1095.39360608252</v>
      </c>
      <c r="D100" s="158"/>
      <c r="E100" s="160"/>
      <c r="G100" s="180"/>
      <c r="I100" s="110" t="s">
        <v>76</v>
      </c>
    </row>
    <row r="101" ht="15.75" customHeight="1" spans="1:7">
      <c r="A101" s="150" t="s">
        <v>30</v>
      </c>
      <c r="B101" s="181">
        <f t="shared" si="10"/>
        <v>0.18246186260408</v>
      </c>
      <c r="C101" s="177">
        <f t="shared" si="11"/>
        <v>1415.26825712612</v>
      </c>
      <c r="G101" s="180"/>
    </row>
    <row r="102" ht="15.75" customHeight="1" spans="1:3">
      <c r="A102" s="150" t="s">
        <v>31</v>
      </c>
      <c r="B102" s="181">
        <f t="shared" si="10"/>
        <v>0.123253347187497</v>
      </c>
      <c r="C102" s="177">
        <f t="shared" si="11"/>
        <v>940.002805844551</v>
      </c>
    </row>
    <row r="103" ht="15.75" customHeight="1"/>
    <row r="104" ht="15.75" customHeight="1" spans="2:7">
      <c r="B104" s="178" t="s">
        <v>77</v>
      </c>
      <c r="C104" s="145"/>
      <c r="D104" s="145"/>
      <c r="E104" s="146"/>
      <c r="G104" s="182"/>
    </row>
    <row r="105" ht="15.75" customHeight="1" spans="7:7">
      <c r="G105" s="182"/>
    </row>
    <row r="106" ht="15.75" customHeight="1" spans="2:7">
      <c r="B106" s="138" t="s">
        <v>17</v>
      </c>
      <c r="C106" s="138" t="s">
        <v>18</v>
      </c>
      <c r="D106" s="138" t="s">
        <v>19</v>
      </c>
      <c r="E106" s="138" t="s">
        <v>20</v>
      </c>
      <c r="G106" s="182"/>
    </row>
    <row r="107" ht="15.75" customHeight="1" spans="2:7">
      <c r="B107" s="139">
        <v>0.185964128811735</v>
      </c>
      <c r="C107" s="139">
        <v>0.17028168038129</v>
      </c>
      <c r="D107" s="139">
        <v>0.100511199800112</v>
      </c>
      <c r="E107" s="139">
        <v>0.251120915457133</v>
      </c>
      <c r="G107" s="182"/>
    </row>
    <row r="108" ht="15.75" customHeight="1" spans="1:7">
      <c r="A108" s="140" t="s">
        <v>21</v>
      </c>
      <c r="B108" s="139">
        <v>0.158700294778206</v>
      </c>
      <c r="C108" s="139">
        <v>0.236052396771096</v>
      </c>
      <c r="D108" s="139">
        <v>0.0655173112376168</v>
      </c>
      <c r="E108" s="139">
        <v>0.14346500200236</v>
      </c>
      <c r="G108" s="182"/>
    </row>
    <row r="109" ht="15.75" customHeight="1" spans="2:7">
      <c r="B109" s="139">
        <v>0.103538495191445</v>
      </c>
      <c r="C109" s="139">
        <v>0.0774030921112447</v>
      </c>
      <c r="D109" s="139">
        <v>0.121764145783108</v>
      </c>
      <c r="E109" s="139">
        <v>0.120228160751588</v>
      </c>
      <c r="G109" s="182"/>
    </row>
    <row r="110" ht="15.75" customHeight="1" spans="2:7">
      <c r="B110" s="139">
        <v>0.0952184624396878</v>
      </c>
      <c r="C110" s="139">
        <v>0.0590497376049406</v>
      </c>
      <c r="D110" s="139">
        <v>0.0383865804987743</v>
      </c>
      <c r="E110" s="139">
        <v>0.143244471864143</v>
      </c>
      <c r="G110" s="182"/>
    </row>
    <row r="111" ht="15.75" customHeight="1" spans="1:7">
      <c r="A111" s="141" t="s">
        <v>22</v>
      </c>
      <c r="B111" s="142">
        <v>0.543421381221073</v>
      </c>
      <c r="C111" s="142">
        <v>0.542786906868571</v>
      </c>
      <c r="D111" s="142">
        <v>0.326179237319611</v>
      </c>
      <c r="E111" s="142">
        <v>0.658058550075224</v>
      </c>
      <c r="F111" s="143" t="s">
        <v>23</v>
      </c>
      <c r="G111" s="182"/>
    </row>
    <row r="112" ht="15.75" customHeight="1" spans="2:7">
      <c r="B112" s="183" t="s">
        <v>78</v>
      </c>
      <c r="G112" s="182"/>
    </row>
    <row r="113" ht="15.75" customHeight="1" spans="2:10">
      <c r="B113" s="184" t="s">
        <v>79</v>
      </c>
      <c r="C113" t="s">
        <v>80</v>
      </c>
      <c r="D113" s="184" t="s">
        <v>81</v>
      </c>
      <c r="E113" s="176" t="s">
        <v>82</v>
      </c>
      <c r="J113" s="186"/>
    </row>
    <row r="114" ht="15.75" customHeight="1" spans="1:5">
      <c r="A114" s="150" t="s">
        <v>28</v>
      </c>
      <c r="B114" s="139">
        <f>SUM(B9:B12)</f>
        <v>5261.696</v>
      </c>
      <c r="D114" s="150" t="s">
        <v>28</v>
      </c>
      <c r="E114" s="139">
        <f>SUM(B107:B110)*D92</f>
        <v>5334.22558514683</v>
      </c>
    </row>
    <row r="115" ht="15.75" customHeight="1" spans="1:5">
      <c r="A115" s="150" t="s">
        <v>29</v>
      </c>
      <c r="B115" s="139">
        <f>SUM(C9:C12)</f>
        <v>3814.784</v>
      </c>
      <c r="D115" s="150" t="s">
        <v>29</v>
      </c>
      <c r="E115" s="139">
        <f>SUM(C107:C110)*D93</f>
        <v>3865.79451183227</v>
      </c>
    </row>
    <row r="116" ht="15.75" customHeight="1" spans="1:5">
      <c r="A116" s="150" t="s">
        <v>30</v>
      </c>
      <c r="B116" s="139">
        <f>SUM(D9:D12)</f>
        <v>2415.08</v>
      </c>
      <c r="D116" s="150" t="s">
        <v>30</v>
      </c>
      <c r="E116" s="139">
        <f>SUM(D107:D110)*D94</f>
        <v>2451.56423950786</v>
      </c>
    </row>
    <row r="117" ht="15.75" customHeight="1" spans="1:5">
      <c r="A117" s="150" t="s">
        <v>31</v>
      </c>
      <c r="B117" s="139">
        <f>SUM(E9:E12)</f>
        <v>4863.895</v>
      </c>
      <c r="D117" s="150" t="s">
        <v>31</v>
      </c>
      <c r="E117" s="139">
        <f>SUM(E107:E110)*D95</f>
        <v>4863.12314108068</v>
      </c>
    </row>
    <row r="118" ht="15.75" customHeight="1"/>
    <row r="119" ht="15.75" customHeight="1" spans="2:5">
      <c r="B119" s="178" t="s">
        <v>83</v>
      </c>
      <c r="C119" s="145"/>
      <c r="D119" s="145"/>
      <c r="E119" s="146"/>
    </row>
    <row r="120" ht="15.75" customHeight="1"/>
    <row r="121" ht="15.75" customHeight="1" spans="2:2">
      <c r="B121" s="176" t="s">
        <v>14</v>
      </c>
    </row>
    <row r="122" ht="15.75" customHeight="1" spans="1:4">
      <c r="A122" s="150" t="s">
        <v>28</v>
      </c>
      <c r="B122" s="139">
        <v>694.278</v>
      </c>
      <c r="D122" s="110" t="s">
        <v>84</v>
      </c>
    </row>
    <row r="123" ht="15.75" customHeight="1" spans="1:4">
      <c r="A123" s="150" t="s">
        <v>29</v>
      </c>
      <c r="B123" s="139">
        <v>314.226</v>
      </c>
      <c r="D123" s="110" t="s">
        <v>85</v>
      </c>
    </row>
    <row r="124" ht="15.75" customHeight="1" spans="1:2">
      <c r="A124" s="150" t="s">
        <v>30</v>
      </c>
      <c r="B124" s="139">
        <v>499.1</v>
      </c>
    </row>
    <row r="125" ht="15.75" customHeight="1" spans="1:2">
      <c r="A125" s="150" t="s">
        <v>31</v>
      </c>
      <c r="B125" s="139">
        <v>276</v>
      </c>
    </row>
    <row r="126" ht="15.75" customHeight="1" spans="3:6">
      <c r="C126" s="178" t="s">
        <v>86</v>
      </c>
      <c r="D126" s="145"/>
      <c r="E126" s="145"/>
      <c r="F126" s="146"/>
    </row>
    <row r="127" ht="15.75" customHeight="1"/>
    <row r="128" ht="15.75" customHeight="1" spans="1:16">
      <c r="A128" s="185" t="s">
        <v>87</v>
      </c>
      <c r="B128" s="176" t="s">
        <v>68</v>
      </c>
      <c r="C128" s="176" t="s">
        <v>88</v>
      </c>
      <c r="D128" s="176" t="s">
        <v>89</v>
      </c>
      <c r="E128" s="176"/>
      <c r="N128" s="176" t="s">
        <v>90</v>
      </c>
      <c r="O128" s="176" t="s">
        <v>91</v>
      </c>
      <c r="P128" s="176" t="s">
        <v>92</v>
      </c>
    </row>
    <row r="129" ht="15.75" customHeight="1" spans="1:16">
      <c r="A129" s="150" t="s">
        <v>28</v>
      </c>
      <c r="B129" s="142">
        <f t="shared" ref="B129:B132" si="12">B92</f>
        <v>1735.695</v>
      </c>
      <c r="C129" s="142">
        <f t="shared" ref="C129:C132" si="13">B114</f>
        <v>5261.696</v>
      </c>
      <c r="D129" s="142">
        <f t="shared" ref="D129:D132" si="14">B129/(B129+E114)</f>
        <v>0.245504172090209</v>
      </c>
      <c r="E129" s="142"/>
      <c r="N129" s="142">
        <f t="shared" ref="N129:N132" si="15">B122</f>
        <v>694.278</v>
      </c>
      <c r="O129" s="142">
        <f t="shared" ref="O129:O132" si="16">SUM(B129:N129)</f>
        <v>7691.91450417209</v>
      </c>
      <c r="P129" s="142">
        <f t="shared" ref="P129:P132" si="17">B129/O129</f>
        <v>0.225651884073667</v>
      </c>
    </row>
    <row r="130" ht="15.75" customHeight="1" spans="1:16">
      <c r="A130" s="150" t="s">
        <v>29</v>
      </c>
      <c r="B130" s="142">
        <f t="shared" si="12"/>
        <v>1047.422</v>
      </c>
      <c r="C130" s="142">
        <f t="shared" si="13"/>
        <v>3814.784</v>
      </c>
      <c r="D130" s="142">
        <f t="shared" si="14"/>
        <v>0.213184580300408</v>
      </c>
      <c r="E130" s="142"/>
      <c r="N130" s="142">
        <f t="shared" si="15"/>
        <v>314.226</v>
      </c>
      <c r="O130" s="142">
        <f t="shared" si="16"/>
        <v>5176.6451845803</v>
      </c>
      <c r="P130" s="142">
        <f t="shared" si="17"/>
        <v>0.202336061803108</v>
      </c>
    </row>
    <row r="131" ht="15.75" customHeight="1" spans="1:16">
      <c r="A131" s="150" t="s">
        <v>30</v>
      </c>
      <c r="B131" s="142">
        <f t="shared" si="12"/>
        <v>1350.975</v>
      </c>
      <c r="C131" s="142">
        <f t="shared" si="13"/>
        <v>2415.08</v>
      </c>
      <c r="D131" s="142">
        <f t="shared" si="14"/>
        <v>0.355282329755747</v>
      </c>
      <c r="E131" s="142"/>
      <c r="N131" s="142">
        <f t="shared" si="15"/>
        <v>499.1</v>
      </c>
      <c r="O131" s="142">
        <f t="shared" si="16"/>
        <v>4265.51028232976</v>
      </c>
      <c r="P131" s="142">
        <f t="shared" si="17"/>
        <v>0.316720605643956</v>
      </c>
    </row>
    <row r="132" ht="15.75" customHeight="1" spans="1:16">
      <c r="A132" s="150" t="s">
        <v>31</v>
      </c>
      <c r="B132" s="142">
        <f t="shared" si="12"/>
        <v>911</v>
      </c>
      <c r="C132" s="142">
        <f t="shared" si="13"/>
        <v>4863.895</v>
      </c>
      <c r="D132" s="142">
        <f t="shared" si="14"/>
        <v>0.157772873515389</v>
      </c>
      <c r="E132" s="142"/>
      <c r="N132" s="142">
        <f t="shared" si="15"/>
        <v>276</v>
      </c>
      <c r="O132" s="142">
        <f t="shared" si="16"/>
        <v>6051.05277287352</v>
      </c>
      <c r="P132" s="142">
        <f t="shared" si="17"/>
        <v>0.15055231448054</v>
      </c>
    </row>
    <row r="133" ht="15.75" customHeight="1"/>
    <row r="134" ht="15.75" customHeight="1"/>
    <row r="135" ht="15.75" customHeight="1" spans="1:16">
      <c r="A135" s="185" t="s">
        <v>93</v>
      </c>
      <c r="B135" s="176" t="s">
        <v>94</v>
      </c>
      <c r="C135" s="176" t="s">
        <v>95</v>
      </c>
      <c r="D135" s="176" t="s">
        <v>96</v>
      </c>
      <c r="E135" s="176"/>
      <c r="N135" s="176" t="s">
        <v>90</v>
      </c>
      <c r="O135" s="176" t="s">
        <v>91</v>
      </c>
      <c r="P135" s="176" t="s">
        <v>97</v>
      </c>
    </row>
    <row r="136" ht="15.75" customHeight="1" spans="1:16">
      <c r="A136" s="150" t="s">
        <v>28</v>
      </c>
      <c r="B136" s="142">
        <f t="shared" ref="B136:B139" si="18">C99</f>
        <v>1815.92846007747</v>
      </c>
      <c r="C136" s="142">
        <f t="shared" ref="C136:C139" si="19">E114</f>
        <v>5334.22558514683</v>
      </c>
      <c r="D136" s="142"/>
      <c r="E136" s="142"/>
      <c r="N136" s="142">
        <f t="shared" ref="N136:N139" si="20">B122</f>
        <v>694.278</v>
      </c>
      <c r="O136" s="142">
        <f t="shared" ref="O136:O139" si="21">SUM(B136:N136)</f>
        <v>7844.4320452243</v>
      </c>
      <c r="P136" s="142">
        <f t="shared" ref="P136:P139" si="22">B136/O136</f>
        <v>0.23149266251634</v>
      </c>
    </row>
    <row r="137" ht="15.75" customHeight="1" spans="1:16">
      <c r="A137" s="150" t="s">
        <v>29</v>
      </c>
      <c r="B137" s="142">
        <f t="shared" si="18"/>
        <v>1095.39360608252</v>
      </c>
      <c r="C137" s="142">
        <f t="shared" si="19"/>
        <v>3865.79451183227</v>
      </c>
      <c r="D137" s="142"/>
      <c r="E137" s="142"/>
      <c r="N137" s="142">
        <f t="shared" si="20"/>
        <v>314.226</v>
      </c>
      <c r="O137" s="142">
        <f t="shared" si="21"/>
        <v>5275.41411791479</v>
      </c>
      <c r="P137" s="142">
        <f t="shared" si="22"/>
        <v>0.207641254619741</v>
      </c>
    </row>
    <row r="138" ht="15.75" customHeight="1" spans="1:16">
      <c r="A138" s="150" t="s">
        <v>30</v>
      </c>
      <c r="B138" s="142">
        <f t="shared" si="18"/>
        <v>1415.26825712612</v>
      </c>
      <c r="C138" s="142">
        <f t="shared" si="19"/>
        <v>2451.56423950786</v>
      </c>
      <c r="D138" s="142"/>
      <c r="E138" s="142"/>
      <c r="N138" s="142">
        <f t="shared" si="20"/>
        <v>499.1</v>
      </c>
      <c r="O138" s="142">
        <f t="shared" si="21"/>
        <v>4365.93249663399</v>
      </c>
      <c r="P138" s="142">
        <f t="shared" si="22"/>
        <v>0.32416173594467</v>
      </c>
    </row>
    <row r="139" ht="15.75" customHeight="1" spans="1:16">
      <c r="A139" s="150" t="s">
        <v>31</v>
      </c>
      <c r="B139" s="142">
        <f t="shared" si="18"/>
        <v>940.002805844551</v>
      </c>
      <c r="C139" s="142">
        <f t="shared" si="19"/>
        <v>4863.12314108068</v>
      </c>
      <c r="D139" s="142"/>
      <c r="E139" s="142"/>
      <c r="N139" s="142">
        <f t="shared" si="20"/>
        <v>276</v>
      </c>
      <c r="O139" s="142">
        <f t="shared" si="21"/>
        <v>6079.12594692523</v>
      </c>
      <c r="P139" s="142">
        <f t="shared" si="22"/>
        <v>0.154627953763649</v>
      </c>
    </row>
    <row r="140" ht="15.75" customHeight="1"/>
    <row r="141" ht="15.75" customHeight="1"/>
    <row r="142" ht="15.75" customHeight="1" spans="2:5">
      <c r="B142" s="178" t="s">
        <v>98</v>
      </c>
      <c r="C142" s="145"/>
      <c r="D142" s="145"/>
      <c r="E142" s="146"/>
    </row>
    <row r="143" ht="15.75" customHeight="1"/>
    <row r="144" ht="15.75" customHeight="1" spans="2:4">
      <c r="B144" s="176" t="s">
        <v>92</v>
      </c>
      <c r="C144" s="176" t="s">
        <v>97</v>
      </c>
      <c r="D144" s="176" t="s">
        <v>99</v>
      </c>
    </row>
    <row r="145" ht="15.75" customHeight="1" spans="1:5">
      <c r="A145" s="150" t="s">
        <v>28</v>
      </c>
      <c r="B145" s="187">
        <f t="shared" ref="B145:B148" si="23">P129</f>
        <v>0.225651884073667</v>
      </c>
      <c r="C145" s="187">
        <f t="shared" ref="C145:C148" si="24">P136</f>
        <v>0.23149266251634</v>
      </c>
      <c r="D145" s="187">
        <f t="shared" ref="D145:D148" si="25">C145/B145</f>
        <v>1.02588402249177</v>
      </c>
      <c r="E145" t="s">
        <v>100</v>
      </c>
    </row>
    <row r="146" ht="15.75" customHeight="1" spans="1:5">
      <c r="A146" s="150" t="s">
        <v>29</v>
      </c>
      <c r="B146" s="187">
        <f t="shared" si="23"/>
        <v>0.202336061803108</v>
      </c>
      <c r="C146" s="187">
        <f t="shared" si="24"/>
        <v>0.207641254619741</v>
      </c>
      <c r="D146" s="187">
        <f t="shared" si="25"/>
        <v>1.02621970977074</v>
      </c>
      <c r="E146" t="s">
        <v>101</v>
      </c>
    </row>
    <row r="147" ht="15.75" customHeight="1" spans="1:5">
      <c r="A147" s="150" t="s">
        <v>30</v>
      </c>
      <c r="B147" s="187">
        <f t="shared" si="23"/>
        <v>0.316720605643956</v>
      </c>
      <c r="C147" s="187">
        <f t="shared" si="24"/>
        <v>0.32416173594467</v>
      </c>
      <c r="D147" s="187">
        <f t="shared" si="25"/>
        <v>1.02349430434305</v>
      </c>
      <c r="E147" t="s">
        <v>102</v>
      </c>
    </row>
    <row r="148" ht="15.75" customHeight="1" spans="1:5">
      <c r="A148" s="150" t="s">
        <v>31</v>
      </c>
      <c r="B148" s="187">
        <f t="shared" si="23"/>
        <v>0.15055231448054</v>
      </c>
      <c r="C148" s="187">
        <f t="shared" si="24"/>
        <v>0.154627953763649</v>
      </c>
      <c r="D148" s="187">
        <f t="shared" si="25"/>
        <v>1.02707124959965</v>
      </c>
      <c r="E148" t="s">
        <v>103</v>
      </c>
    </row>
    <row r="149" ht="15.75" customHeight="1"/>
    <row r="150" ht="15.75" customHeight="1" spans="2:2">
      <c r="B150" s="110" t="s">
        <v>104</v>
      </c>
    </row>
    <row r="151" ht="15.75" customHeight="1"/>
    <row r="152" ht="15.75" customHeight="1"/>
    <row r="153" ht="15.75" customHeight="1" spans="1:7">
      <c r="A153" s="147" t="s">
        <v>105</v>
      </c>
      <c r="B153" s="148" t="s">
        <v>106</v>
      </c>
      <c r="C153" s="145"/>
      <c r="D153" s="145"/>
      <c r="E153" s="146"/>
      <c r="G153" s="110" t="s">
        <v>107</v>
      </c>
    </row>
    <row r="154" ht="15.75" customHeight="1" spans="7:7">
      <c r="G154" s="110" t="s">
        <v>108</v>
      </c>
    </row>
    <row r="155" ht="15.75" customHeight="1" spans="1:7">
      <c r="A155" s="150" t="s">
        <v>109</v>
      </c>
      <c r="B155" s="187">
        <v>0.1</v>
      </c>
      <c r="C155" s="187">
        <v>0.4</v>
      </c>
      <c r="D155" s="187">
        <v>0.3</v>
      </c>
      <c r="E155" s="187">
        <v>0.4</v>
      </c>
      <c r="G155" s="110" t="s">
        <v>110</v>
      </c>
    </row>
    <row r="156" ht="15.75" customHeight="1" spans="1:5">
      <c r="A156" s="150" t="s">
        <v>111</v>
      </c>
      <c r="B156" s="187">
        <f t="shared" ref="B156:E156" si="26">B155*B13</f>
        <v>173.5695</v>
      </c>
      <c r="C156" s="187">
        <f t="shared" si="26"/>
        <v>418.9688</v>
      </c>
      <c r="D156" s="187">
        <f t="shared" si="26"/>
        <v>405.2925</v>
      </c>
      <c r="E156" s="187">
        <f t="shared" si="26"/>
        <v>364.4</v>
      </c>
    </row>
    <row r="157" ht="15.75" customHeight="1" spans="1:7">
      <c r="A157" s="150" t="s">
        <v>112</v>
      </c>
      <c r="B157" s="187">
        <f t="shared" ref="B157:E157" si="27">B24+B191/B192+B190/B192+B189/B192</f>
        <v>0.967887273543865</v>
      </c>
      <c r="C157" s="187">
        <f t="shared" si="27"/>
        <v>0.870003353525978</v>
      </c>
      <c r="D157" s="187">
        <f t="shared" si="27"/>
        <v>0.877631395267256</v>
      </c>
      <c r="E157" s="187">
        <f t="shared" si="27"/>
        <v>1.29238999991998</v>
      </c>
      <c r="G157" s="110" t="s">
        <v>113</v>
      </c>
    </row>
    <row r="158" ht="15.75" customHeight="1" spans="1:5">
      <c r="A158" s="110" t="s">
        <v>114</v>
      </c>
      <c r="B158" s="187">
        <f t="shared" ref="B158:E158" si="28">B24+B191/B192+B190/B192*(1+B155)</f>
        <v>0.784658761995217</v>
      </c>
      <c r="C158" s="187">
        <f t="shared" si="28"/>
        <v>0.739732333145261</v>
      </c>
      <c r="D158" s="187">
        <f t="shared" si="28"/>
        <v>0.705507934519454</v>
      </c>
      <c r="E158" s="187">
        <f t="shared" si="28"/>
        <v>1.18491621115106</v>
      </c>
    </row>
    <row r="159" ht="15.75" customHeight="1"/>
    <row r="160" ht="15.75" customHeight="1" spans="1:5">
      <c r="A160" s="174" t="s">
        <v>67</v>
      </c>
      <c r="B160" s="174" t="s">
        <v>115</v>
      </c>
      <c r="C160" s="174" t="s">
        <v>116</v>
      </c>
      <c r="D160" s="174" t="s">
        <v>117</v>
      </c>
      <c r="E160" s="174" t="s">
        <v>118</v>
      </c>
    </row>
    <row r="161" ht="15.75" customHeight="1" spans="1:5">
      <c r="A161" s="188" t="s">
        <v>2</v>
      </c>
      <c r="B161" s="173">
        <v>0.1</v>
      </c>
      <c r="C161" s="173">
        <v>173.57</v>
      </c>
      <c r="D161" s="173">
        <v>0.965</v>
      </c>
      <c r="E161" s="173">
        <v>0.812</v>
      </c>
    </row>
    <row r="162" ht="15.75" customHeight="1" spans="1:5">
      <c r="A162" s="188" t="s">
        <v>3</v>
      </c>
      <c r="B162" s="173">
        <v>0.4</v>
      </c>
      <c r="C162" s="173">
        <v>418.969</v>
      </c>
      <c r="D162" s="173">
        <v>0.868</v>
      </c>
      <c r="E162" s="173">
        <v>0.796</v>
      </c>
    </row>
    <row r="163" ht="15.75" customHeight="1" spans="1:5">
      <c r="A163" s="188" t="s">
        <v>10</v>
      </c>
      <c r="B163" s="173">
        <v>0.3</v>
      </c>
      <c r="C163" s="173">
        <v>405.293</v>
      </c>
      <c r="D163" s="173">
        <v>0.876</v>
      </c>
      <c r="E163" s="173">
        <v>0.631</v>
      </c>
    </row>
    <row r="164" ht="15.75" customHeight="1" spans="1:5">
      <c r="A164" s="188" t="s">
        <v>5</v>
      </c>
      <c r="B164" s="173">
        <v>0.4</v>
      </c>
      <c r="C164" s="173">
        <v>364.4</v>
      </c>
      <c r="D164" s="173">
        <v>1.295</v>
      </c>
      <c r="E164" s="173">
        <v>0.868</v>
      </c>
    </row>
    <row r="165" ht="15.75" customHeight="1"/>
    <row r="166" ht="15.75" customHeight="1" spans="7:7">
      <c r="G166" s="189" t="s">
        <v>119</v>
      </c>
    </row>
    <row r="167" ht="15.75" customHeight="1" spans="1:5">
      <c r="A167" s="190" t="s">
        <v>120</v>
      </c>
      <c r="B167" s="191" t="s">
        <v>121</v>
      </c>
      <c r="C167" s="154"/>
      <c r="D167" s="154"/>
      <c r="E167" s="155"/>
    </row>
    <row r="168" ht="15.75" customHeight="1" spans="2:5">
      <c r="B168" s="156"/>
      <c r="E168" s="157"/>
    </row>
    <row r="169" ht="15.75" customHeight="1" spans="2:10">
      <c r="B169" s="158"/>
      <c r="C169" s="159"/>
      <c r="D169" s="159"/>
      <c r="E169" s="160"/>
      <c r="G169" s="191" t="s">
        <v>122</v>
      </c>
      <c r="H169" s="154"/>
      <c r="I169" s="154"/>
      <c r="J169" s="155"/>
    </row>
    <row r="170" ht="15.75" customHeight="1" spans="7:10">
      <c r="G170" s="156"/>
      <c r="J170" s="157"/>
    </row>
    <row r="171" ht="15.75" customHeight="1" spans="1:10">
      <c r="A171" s="190" t="s">
        <v>123</v>
      </c>
      <c r="B171" s="191" t="s">
        <v>124</v>
      </c>
      <c r="C171" s="154"/>
      <c r="D171" s="154"/>
      <c r="E171" s="155"/>
      <c r="G171" s="156"/>
      <c r="J171" s="157"/>
    </row>
    <row r="172" ht="15.75" customHeight="1" spans="2:10">
      <c r="B172" s="156"/>
      <c r="E172" s="157"/>
      <c r="G172" s="156"/>
      <c r="J172" s="157"/>
    </row>
    <row r="173" ht="15.75" customHeight="1" spans="2:10">
      <c r="B173" s="158"/>
      <c r="C173" s="159"/>
      <c r="D173" s="159"/>
      <c r="E173" s="160"/>
      <c r="G173" s="156"/>
      <c r="J173" s="157"/>
    </row>
    <row r="174" ht="15.75" customHeight="1" spans="7:10">
      <c r="G174" s="156"/>
      <c r="J174" s="157"/>
    </row>
    <row r="175" ht="15.75" customHeight="1" spans="1:10">
      <c r="A175" s="190" t="s">
        <v>125</v>
      </c>
      <c r="B175" s="191" t="s">
        <v>126</v>
      </c>
      <c r="C175" s="154"/>
      <c r="D175" s="154"/>
      <c r="E175" s="155"/>
      <c r="G175" s="156"/>
      <c r="J175" s="157"/>
    </row>
    <row r="176" ht="15.75" customHeight="1" spans="2:10">
      <c r="B176" s="156"/>
      <c r="E176" s="157"/>
      <c r="G176" s="156"/>
      <c r="J176" s="157"/>
    </row>
    <row r="177" ht="15.75" customHeight="1" spans="2:10">
      <c r="B177" s="158"/>
      <c r="C177" s="159"/>
      <c r="D177" s="159"/>
      <c r="E177" s="160"/>
      <c r="G177" s="158"/>
      <c r="H177" s="159"/>
      <c r="I177" s="159"/>
      <c r="J177" s="160"/>
    </row>
    <row r="178" ht="15.75" customHeight="1"/>
    <row r="179" ht="15.75" customHeight="1" spans="1:5">
      <c r="A179" s="190" t="s">
        <v>127</v>
      </c>
      <c r="B179" s="191" t="s">
        <v>128</v>
      </c>
      <c r="C179" s="154"/>
      <c r="D179" s="154"/>
      <c r="E179" s="155"/>
    </row>
    <row r="180" ht="15.75" customHeight="1" spans="2:5">
      <c r="B180" s="156"/>
      <c r="E180" s="157"/>
    </row>
    <row r="181" ht="15.75" customHeight="1" spans="2:5">
      <c r="B181" s="158"/>
      <c r="C181" s="159"/>
      <c r="D181" s="159"/>
      <c r="E181" s="160"/>
    </row>
    <row r="182" ht="15.75" customHeight="1"/>
    <row r="183" ht="15.75" customHeight="1" spans="1:1">
      <c r="A183" s="192" t="s">
        <v>129</v>
      </c>
    </row>
    <row r="184" ht="15.75" customHeight="1" spans="1:7">
      <c r="A184" s="111" t="s">
        <v>1</v>
      </c>
      <c r="B184" s="112" t="s">
        <v>2</v>
      </c>
      <c r="C184" s="112" t="s">
        <v>3</v>
      </c>
      <c r="D184" s="112" t="s">
        <v>4</v>
      </c>
      <c r="E184" s="112" t="s">
        <v>5</v>
      </c>
      <c r="F184" s="113" t="s">
        <v>6</v>
      </c>
      <c r="G184" s="113" t="s">
        <v>7</v>
      </c>
    </row>
    <row r="185" ht="15.75" customHeight="1" spans="1:7">
      <c r="A185" s="114" t="s">
        <v>2</v>
      </c>
      <c r="B185" s="116">
        <f t="shared" ref="B185:E185" si="29">B37*B$192</f>
        <v>1825.42433571185</v>
      </c>
      <c r="C185" s="116">
        <f t="shared" si="29"/>
        <v>1212.76688356626</v>
      </c>
      <c r="D185" s="116">
        <f t="shared" si="29"/>
        <v>755.442514136904</v>
      </c>
      <c r="E185" s="116">
        <f t="shared" si="29"/>
        <v>1855.81045186534</v>
      </c>
      <c r="F185" s="117">
        <f t="shared" ref="F185:F188" si="30">B31</f>
        <v>4166.55822</v>
      </c>
      <c r="G185" s="118">
        <f t="shared" ref="G185:G188" si="31">B57</f>
        <v>9816.00240528035</v>
      </c>
    </row>
    <row r="186" ht="15.75" customHeight="1" spans="1:7">
      <c r="A186" s="119" t="s">
        <v>3</v>
      </c>
      <c r="B186" s="116">
        <f t="shared" ref="B186:E186" si="32">B38*B$192</f>
        <v>1557.80247526157</v>
      </c>
      <c r="C186" s="116">
        <f t="shared" si="32"/>
        <v>1681.19394258623</v>
      </c>
      <c r="D186" s="116">
        <f t="shared" si="32"/>
        <v>492.428330566799</v>
      </c>
      <c r="E186" s="116">
        <f t="shared" si="32"/>
        <v>1060.22172509286</v>
      </c>
      <c r="F186" s="117">
        <f t="shared" si="30"/>
        <v>2330.475418</v>
      </c>
      <c r="G186" s="118">
        <f t="shared" si="31"/>
        <v>7122.12189150746</v>
      </c>
    </row>
    <row r="187" ht="15.75" customHeight="1" spans="1:7">
      <c r="A187" s="119" t="s">
        <v>10</v>
      </c>
      <c r="B187" s="116">
        <f t="shared" ref="B187:E187" si="33">B39*B$192</f>
        <v>1016.33411783833</v>
      </c>
      <c r="C187" s="116">
        <f t="shared" si="33"/>
        <v>551.274256795865</v>
      </c>
      <c r="D187" s="116">
        <f t="shared" si="33"/>
        <v>915.179727284691</v>
      </c>
      <c r="E187" s="116">
        <f t="shared" si="33"/>
        <v>888.498980362432</v>
      </c>
      <c r="F187" s="117">
        <f t="shared" si="30"/>
        <v>4144.716265</v>
      </c>
      <c r="G187" s="118">
        <f t="shared" si="31"/>
        <v>7516.00334728132</v>
      </c>
    </row>
    <row r="188" ht="15.75" customHeight="1" spans="1:7">
      <c r="A188" s="119" t="s">
        <v>5</v>
      </c>
      <c r="B188" s="116">
        <f t="shared" ref="B188:E188" si="34">B40*B$192</f>
        <v>934.664656335073</v>
      </c>
      <c r="C188" s="116">
        <f t="shared" si="34"/>
        <v>420.559428883919</v>
      </c>
      <c r="D188" s="116">
        <f t="shared" si="34"/>
        <v>288.513667519472</v>
      </c>
      <c r="E188" s="116">
        <f t="shared" si="34"/>
        <v>1058.59198376005</v>
      </c>
      <c r="F188" s="117">
        <f t="shared" si="30"/>
        <v>4687.77733</v>
      </c>
      <c r="G188" s="118">
        <f t="shared" si="31"/>
        <v>7390.10706649851</v>
      </c>
    </row>
    <row r="189" ht="15.75" customHeight="1" spans="1:7">
      <c r="A189" s="124" t="s">
        <v>11</v>
      </c>
      <c r="B189" s="125">
        <f>C99</f>
        <v>1815.92846007747</v>
      </c>
      <c r="C189" s="126">
        <f>C100</f>
        <v>1095.39360608252</v>
      </c>
      <c r="D189" s="126">
        <f>C101</f>
        <v>1415.26825712612</v>
      </c>
      <c r="E189" s="126">
        <f>C102</f>
        <v>940.002805844551</v>
      </c>
      <c r="F189" s="127"/>
      <c r="G189" s="128"/>
    </row>
    <row r="190" ht="15.75" customHeight="1" spans="1:7">
      <c r="A190" s="124" t="s">
        <v>13</v>
      </c>
      <c r="B190" s="130">
        <f t="shared" ref="B190:E190" si="35">B156</f>
        <v>173.5695</v>
      </c>
      <c r="C190" s="130">
        <f t="shared" si="35"/>
        <v>418.9688</v>
      </c>
      <c r="D190" s="130">
        <f t="shared" si="35"/>
        <v>405.2925</v>
      </c>
      <c r="E190" s="130">
        <f t="shared" si="35"/>
        <v>364.4</v>
      </c>
      <c r="F190" s="131"/>
      <c r="G190" s="132"/>
    </row>
    <row r="191" ht="15.75" customHeight="1" spans="1:7">
      <c r="A191" s="124" t="s">
        <v>14</v>
      </c>
      <c r="B191" s="130">
        <f>F185-B189-B190</f>
        <v>2177.06025992253</v>
      </c>
      <c r="C191" s="134">
        <f>F186-C189-C190</f>
        <v>816.113011917479</v>
      </c>
      <c r="D191" s="134">
        <f>F187-D189-D190</f>
        <v>2324.15550787388</v>
      </c>
      <c r="E191" s="134">
        <f>F188-E189-E190</f>
        <v>3383.37452415545</v>
      </c>
      <c r="F191" s="131"/>
      <c r="G191" s="132"/>
    </row>
    <row r="192" ht="15.75" customHeight="1" spans="1:7">
      <c r="A192" s="193" t="s">
        <v>7</v>
      </c>
      <c r="B192" s="135">
        <f>G185</f>
        <v>9816.00240528035</v>
      </c>
      <c r="C192" s="136">
        <f>G186</f>
        <v>7122.12189150746</v>
      </c>
      <c r="D192" s="136">
        <f>G187</f>
        <v>7516.00334728132</v>
      </c>
      <c r="E192" s="136">
        <f>G188</f>
        <v>7390.10706649851</v>
      </c>
      <c r="F192" s="136"/>
      <c r="G192" s="137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I8:O8"/>
    <mergeCell ref="K9:L9"/>
    <mergeCell ref="K10:L10"/>
    <mergeCell ref="I13:O13"/>
    <mergeCell ref="B25:E25"/>
    <mergeCell ref="B28:E28"/>
    <mergeCell ref="B48:C48"/>
    <mergeCell ref="B54:C54"/>
    <mergeCell ref="B62:E62"/>
    <mergeCell ref="B76:C76"/>
    <mergeCell ref="E79:G79"/>
    <mergeCell ref="E80:G80"/>
    <mergeCell ref="E81:G81"/>
    <mergeCell ref="E82:G82"/>
    <mergeCell ref="B84:C84"/>
    <mergeCell ref="B88:E88"/>
    <mergeCell ref="B90:D90"/>
    <mergeCell ref="B97:C97"/>
    <mergeCell ref="B104:E104"/>
    <mergeCell ref="B119:E119"/>
    <mergeCell ref="C126:F126"/>
    <mergeCell ref="B142:E142"/>
    <mergeCell ref="B153:E153"/>
    <mergeCell ref="A183:C183"/>
    <mergeCell ref="I18:L24"/>
    <mergeCell ref="C57:E60"/>
    <mergeCell ref="D98:E100"/>
    <mergeCell ref="B167:E169"/>
    <mergeCell ref="B171:E173"/>
    <mergeCell ref="B179:E181"/>
    <mergeCell ref="G166:J167"/>
    <mergeCell ref="G169:J177"/>
    <mergeCell ref="B175:E177"/>
  </mergeCells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workbookViewId="0">
      <selection activeCell="C7" sqref="C7"/>
    </sheetView>
  </sheetViews>
  <sheetFormatPr defaultColWidth="14.4285714285714" defaultRowHeight="15" customHeight="1"/>
  <cols>
    <col min="1" max="1" width="9.85714285714286" style="1" customWidth="1"/>
    <col min="2" max="5" width="19.4285714285714" style="1" customWidth="1"/>
    <col min="6" max="6" width="20.8571428571429" style="1" customWidth="1"/>
    <col min="7" max="7" width="21.7142857142857" style="1" customWidth="1"/>
    <col min="8" max="8" width="25.7142857142857" style="1" customWidth="1"/>
    <col min="9" max="9" width="24.8571428571429" style="1" customWidth="1"/>
    <col min="10" max="17" width="21.7142857142857" style="1" customWidth="1"/>
    <col min="18" max="26" width="8.71428571428571" style="1" customWidth="1"/>
    <col min="27" max="16384" width="14.4285714285714" style="1"/>
  </cols>
  <sheetData>
    <row r="1" spans="2:2">
      <c r="B1" s="2"/>
    </row>
    <row r="2" spans="2:17">
      <c r="B2" s="3" t="s">
        <v>130</v>
      </c>
      <c r="C2" s="4"/>
      <c r="D2" s="4"/>
      <c r="E2" s="4"/>
      <c r="F2" s="4"/>
      <c r="G2" s="5" t="s">
        <v>131</v>
      </c>
      <c r="H2" s="4"/>
      <c r="I2" s="5"/>
      <c r="J2" s="23">
        <v>2</v>
      </c>
      <c r="K2" s="4"/>
      <c r="L2" s="4" t="s">
        <v>132</v>
      </c>
      <c r="M2" s="4"/>
      <c r="N2" s="4"/>
      <c r="O2" s="4"/>
      <c r="P2" s="4"/>
      <c r="Q2" s="23">
        <v>2</v>
      </c>
    </row>
    <row r="3" spans="2:17">
      <c r="B3" s="4"/>
      <c r="C3" s="6" t="s">
        <v>133</v>
      </c>
      <c r="D3" s="6" t="s">
        <v>134</v>
      </c>
      <c r="E3" s="6" t="s">
        <v>135</v>
      </c>
      <c r="F3" s="4"/>
      <c r="G3" s="7" t="s">
        <v>136</v>
      </c>
      <c r="H3" s="8"/>
      <c r="I3" s="47"/>
      <c r="J3" s="48"/>
      <c r="K3" s="4"/>
      <c r="L3" s="4"/>
      <c r="M3" s="4"/>
      <c r="N3" s="4"/>
      <c r="O3" s="4"/>
      <c r="P3" s="4"/>
      <c r="Q3" s="48"/>
    </row>
    <row r="4" spans="2:17">
      <c r="B4" s="9" t="s">
        <v>137</v>
      </c>
      <c r="C4" s="9" t="s">
        <v>138</v>
      </c>
      <c r="D4" s="9" t="s">
        <v>139</v>
      </c>
      <c r="E4" s="9" t="s">
        <v>140</v>
      </c>
      <c r="F4" s="10" t="s">
        <v>141</v>
      </c>
      <c r="G4" s="11" t="s">
        <v>142</v>
      </c>
      <c r="H4" s="11" t="s">
        <v>143</v>
      </c>
      <c r="I4" s="11" t="s">
        <v>144</v>
      </c>
      <c r="J4" s="49" t="s">
        <v>145</v>
      </c>
      <c r="K4" s="49" t="s">
        <v>146</v>
      </c>
      <c r="L4" s="49" t="s">
        <v>147</v>
      </c>
      <c r="M4" s="50" t="s">
        <v>148</v>
      </c>
      <c r="N4" s="50" t="s">
        <v>149</v>
      </c>
      <c r="O4" s="49" t="s">
        <v>150</v>
      </c>
      <c r="P4" s="49" t="s">
        <v>151</v>
      </c>
      <c r="Q4" s="49" t="s">
        <v>152</v>
      </c>
    </row>
    <row r="5" spans="2:17">
      <c r="B5" s="12">
        <v>1</v>
      </c>
      <c r="C5" s="12">
        <v>270</v>
      </c>
      <c r="D5" s="12">
        <v>97950</v>
      </c>
      <c r="E5" s="13">
        <v>25800</v>
      </c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>
      <c r="B6" s="12">
        <v>2</v>
      </c>
      <c r="C6" s="12">
        <v>270</v>
      </c>
      <c r="D6" s="12">
        <v>98350</v>
      </c>
      <c r="E6" s="13">
        <v>25875</v>
      </c>
      <c r="F6" s="10" t="s">
        <v>153</v>
      </c>
      <c r="G6" s="15">
        <f t="shared" ref="G6:I6" si="0">AVERAGE(C5:C7)</f>
        <v>260</v>
      </c>
      <c r="H6" s="15">
        <f t="shared" si="0"/>
        <v>104200</v>
      </c>
      <c r="I6" s="15">
        <f t="shared" si="0"/>
        <v>25891.6666666667</v>
      </c>
      <c r="J6" s="15">
        <f t="shared" ref="J6:L6" si="1">LN(G6)</f>
        <v>5.56068163101553</v>
      </c>
      <c r="K6" s="15">
        <f t="shared" si="1"/>
        <v>11.5540674083014</v>
      </c>
      <c r="L6" s="15">
        <f t="shared" si="1"/>
        <v>10.1616764455931</v>
      </c>
      <c r="M6" s="15">
        <f t="shared" ref="M6:M27" si="2">L6*L6</f>
        <v>103.259668184922</v>
      </c>
      <c r="N6" s="15">
        <f t="shared" ref="N6:N27" si="3">J6*J6</f>
        <v>30.9211802015135</v>
      </c>
      <c r="O6" s="15">
        <f t="shared" ref="O6:O27" si="4">L6*J6</f>
        <v>56.5058475513329</v>
      </c>
      <c r="P6" s="15">
        <f t="shared" ref="P6:P27" si="5">K6*L6</f>
        <v>117.408694633732</v>
      </c>
      <c r="Q6" s="15">
        <f t="shared" ref="Q6:Q27" si="6">K6*J6</f>
        <v>64.2484904008568</v>
      </c>
    </row>
    <row r="7" spans="2:17">
      <c r="B7" s="12">
        <v>3</v>
      </c>
      <c r="C7" s="12">
        <v>240</v>
      </c>
      <c r="D7" s="13">
        <v>116300</v>
      </c>
      <c r="E7" s="13">
        <v>26000</v>
      </c>
      <c r="F7" s="10" t="s">
        <v>154</v>
      </c>
      <c r="G7" s="15">
        <f t="shared" ref="G7:I7" si="7">AVERAGE(C6:C8)</f>
        <v>250</v>
      </c>
      <c r="H7" s="15">
        <f t="shared" si="7"/>
        <v>110323.333333333</v>
      </c>
      <c r="I7" s="15">
        <f t="shared" si="7"/>
        <v>25958.3333333333</v>
      </c>
      <c r="J7" s="15">
        <f t="shared" ref="J7:L7" si="8">LN(G7)</f>
        <v>5.52146091786225</v>
      </c>
      <c r="K7" s="15">
        <f t="shared" si="8"/>
        <v>11.6111707271425</v>
      </c>
      <c r="L7" s="15">
        <f t="shared" si="8"/>
        <v>10.1642479674216</v>
      </c>
      <c r="M7" s="15">
        <f t="shared" si="2"/>
        <v>103.311936743235</v>
      </c>
      <c r="N7" s="15">
        <f t="shared" si="3"/>
        <v>30.4865306674802</v>
      </c>
      <c r="O7" s="15">
        <f t="shared" si="4"/>
        <v>56.1214979115794</v>
      </c>
      <c r="P7" s="15">
        <f t="shared" si="5"/>
        <v>118.018818462743</v>
      </c>
      <c r="Q7" s="15">
        <f t="shared" si="6"/>
        <v>64.1106253805432</v>
      </c>
    </row>
    <row r="8" spans="2:17">
      <c r="B8" s="12">
        <v>4</v>
      </c>
      <c r="C8" s="12">
        <v>240</v>
      </c>
      <c r="D8" s="13">
        <v>116320</v>
      </c>
      <c r="E8" s="13">
        <v>26000</v>
      </c>
      <c r="F8" s="10" t="s">
        <v>155</v>
      </c>
      <c r="G8" s="15">
        <f t="shared" ref="G8:I8" si="9">AVERAGE(C7:C9)</f>
        <v>259.333333333333</v>
      </c>
      <c r="H8" s="15">
        <f t="shared" si="9"/>
        <v>138140</v>
      </c>
      <c r="I8" s="15">
        <f t="shared" si="9"/>
        <v>26133.3333333333</v>
      </c>
      <c r="J8" s="15">
        <f t="shared" ref="J8:L8" si="10">LN(G8)</f>
        <v>5.55811423551028</v>
      </c>
      <c r="K8" s="15">
        <f t="shared" si="10"/>
        <v>11.836022942643</v>
      </c>
      <c r="L8" s="15">
        <f t="shared" si="10"/>
        <v>10.1709669176704</v>
      </c>
      <c r="M8" s="15">
        <f t="shared" si="2"/>
        <v>103.448568040346</v>
      </c>
      <c r="N8" s="15">
        <f t="shared" si="3"/>
        <v>30.892633854982</v>
      </c>
      <c r="O8" s="15">
        <f t="shared" si="4"/>
        <v>56.5313960140079</v>
      </c>
      <c r="P8" s="15">
        <f t="shared" si="5"/>
        <v>120.383797786409</v>
      </c>
      <c r="Q8" s="15">
        <f t="shared" si="6"/>
        <v>65.7859676093302</v>
      </c>
    </row>
    <row r="9" spans="2:17">
      <c r="B9" s="12">
        <v>5</v>
      </c>
      <c r="C9" s="12">
        <v>298</v>
      </c>
      <c r="D9" s="13">
        <v>181800</v>
      </c>
      <c r="E9" s="13">
        <v>26400</v>
      </c>
      <c r="F9" s="10" t="s">
        <v>156</v>
      </c>
      <c r="G9" s="15">
        <f t="shared" ref="G9:I9" si="11">AVERAGE(C8:C10)</f>
        <v>266</v>
      </c>
      <c r="H9" s="15">
        <f t="shared" si="11"/>
        <v>173040</v>
      </c>
      <c r="I9" s="15">
        <f t="shared" si="11"/>
        <v>26533.3333333333</v>
      </c>
      <c r="J9" s="15">
        <f t="shared" ref="J9:L9" si="12">LN(G9)</f>
        <v>5.5834963087817</v>
      </c>
      <c r="K9" s="15">
        <f t="shared" si="12"/>
        <v>12.0612780606269</v>
      </c>
      <c r="L9" s="15">
        <f t="shared" si="12"/>
        <v>10.1861570831644</v>
      </c>
      <c r="M9" s="15">
        <f t="shared" si="2"/>
        <v>103.7577961229</v>
      </c>
      <c r="N9" s="15">
        <f t="shared" si="3"/>
        <v>31.1754310301789</v>
      </c>
      <c r="O9" s="15">
        <f t="shared" si="4"/>
        <v>56.8743704745188</v>
      </c>
      <c r="P9" s="15">
        <f t="shared" si="5"/>
        <v>122.85807294927</v>
      </c>
      <c r="Q9" s="15">
        <f t="shared" si="6"/>
        <v>67.3441015307002</v>
      </c>
    </row>
    <row r="10" spans="2:17">
      <c r="B10" s="12">
        <v>6</v>
      </c>
      <c r="C10" s="12">
        <v>260</v>
      </c>
      <c r="D10" s="13">
        <v>221000</v>
      </c>
      <c r="E10" s="13">
        <v>27200</v>
      </c>
      <c r="F10" s="10" t="s">
        <v>157</v>
      </c>
      <c r="G10" s="15">
        <f t="shared" ref="G10:I10" si="13">AVERAGE(C9:C11)</f>
        <v>272.666666666667</v>
      </c>
      <c r="H10" s="15">
        <f t="shared" si="13"/>
        <v>226283.333333333</v>
      </c>
      <c r="I10" s="15">
        <f t="shared" si="13"/>
        <v>26950</v>
      </c>
      <c r="J10" s="15">
        <f t="shared" ref="J10:L10" si="14">LN(G10)</f>
        <v>5.60825004793464</v>
      </c>
      <c r="K10" s="15">
        <f t="shared" si="14"/>
        <v>12.3295431803603</v>
      </c>
      <c r="L10" s="15">
        <f t="shared" si="14"/>
        <v>10.2017385763371</v>
      </c>
      <c r="M10" s="15">
        <f t="shared" si="2"/>
        <v>104.075469979925</v>
      </c>
      <c r="N10" s="15">
        <f t="shared" si="3"/>
        <v>31.4524686001589</v>
      </c>
      <c r="O10" s="15">
        <f t="shared" si="4"/>
        <v>57.2139008597594</v>
      </c>
      <c r="P10" s="15">
        <f t="shared" si="5"/>
        <v>125.782776291696</v>
      </c>
      <c r="Q10" s="15">
        <f t="shared" si="6"/>
        <v>69.1471611322679</v>
      </c>
    </row>
    <row r="11" spans="2:17">
      <c r="B11" s="12">
        <v>7</v>
      </c>
      <c r="C11" s="12">
        <v>260</v>
      </c>
      <c r="D11" s="13">
        <v>276050</v>
      </c>
      <c r="E11" s="13">
        <v>27250</v>
      </c>
      <c r="F11" s="10" t="s">
        <v>158</v>
      </c>
      <c r="G11" s="15">
        <f t="shared" ref="G11:I11" si="15">AVERAGE(C10:C12)</f>
        <v>260</v>
      </c>
      <c r="H11" s="15">
        <f t="shared" si="15"/>
        <v>262560</v>
      </c>
      <c r="I11" s="15">
        <f t="shared" si="15"/>
        <v>27241.6666666667</v>
      </c>
      <c r="J11" s="15">
        <f t="shared" ref="J11:L11" si="16">LN(G11)</f>
        <v>5.56068163101553</v>
      </c>
      <c r="K11" s="15">
        <f t="shared" si="16"/>
        <v>12.4782349063239</v>
      </c>
      <c r="L11" s="15">
        <f t="shared" si="16"/>
        <v>10.2125029429243</v>
      </c>
      <c r="M11" s="15">
        <f t="shared" si="2"/>
        <v>104.295216359238</v>
      </c>
      <c r="N11" s="15">
        <f t="shared" si="3"/>
        <v>30.9211802015135</v>
      </c>
      <c r="O11" s="15">
        <f t="shared" si="4"/>
        <v>56.7884775214112</v>
      </c>
      <c r="P11" s="15">
        <f t="shared" si="5"/>
        <v>127.434010703334</v>
      </c>
      <c r="Q11" s="15">
        <f t="shared" si="6"/>
        <v>69.3874916310922</v>
      </c>
    </row>
    <row r="12" spans="2:17">
      <c r="B12" s="12">
        <v>8</v>
      </c>
      <c r="C12" s="12">
        <v>260</v>
      </c>
      <c r="D12" s="13">
        <v>290630</v>
      </c>
      <c r="E12" s="13">
        <v>27275</v>
      </c>
      <c r="F12" s="10" t="s">
        <v>159</v>
      </c>
      <c r="G12" s="15">
        <f t="shared" ref="G12:I12" si="17">AVERAGE(C11:C13)</f>
        <v>266.666666666667</v>
      </c>
      <c r="H12" s="15">
        <f t="shared" si="17"/>
        <v>266640</v>
      </c>
      <c r="I12" s="15">
        <f t="shared" si="17"/>
        <v>27275</v>
      </c>
      <c r="J12" s="15">
        <f t="shared" ref="J12:L12" si="18">LN(G12)</f>
        <v>5.58599943899982</v>
      </c>
      <c r="K12" s="15">
        <f t="shared" si="18"/>
        <v>12.4936547129816</v>
      </c>
      <c r="L12" s="15">
        <f t="shared" si="18"/>
        <v>10.2137258107013</v>
      </c>
      <c r="M12" s="15">
        <f t="shared" si="2"/>
        <v>104.320194936185</v>
      </c>
      <c r="N12" s="15">
        <f t="shared" si="3"/>
        <v>31.2033897325063</v>
      </c>
      <c r="O12" s="15">
        <f t="shared" si="4"/>
        <v>57.0538666486753</v>
      </c>
      <c r="P12" s="15">
        <f t="shared" si="5"/>
        <v>127.60676361197</v>
      </c>
      <c r="Q12" s="15">
        <f t="shared" si="6"/>
        <v>69.7895482177728</v>
      </c>
    </row>
    <row r="13" spans="2:17">
      <c r="B13" s="12">
        <v>9</v>
      </c>
      <c r="C13" s="12">
        <v>280</v>
      </c>
      <c r="D13" s="13">
        <v>233240</v>
      </c>
      <c r="E13" s="13">
        <v>27300</v>
      </c>
      <c r="F13" s="10" t="s">
        <v>160</v>
      </c>
      <c r="G13" s="15">
        <f t="shared" ref="G13:I13" si="19">AVERAGE(C12:C14)</f>
        <v>276.666666666667</v>
      </c>
      <c r="H13" s="15">
        <f t="shared" si="19"/>
        <v>253270</v>
      </c>
      <c r="I13" s="15">
        <f t="shared" si="19"/>
        <v>27291.6666666667</v>
      </c>
      <c r="J13" s="15">
        <f t="shared" ref="J13:L13" si="20">LN(G13)</f>
        <v>5.62281341212253</v>
      </c>
      <c r="K13" s="15">
        <f t="shared" si="20"/>
        <v>12.4422113923392</v>
      </c>
      <c r="L13" s="15">
        <f t="shared" si="20"/>
        <v>10.2143366842694</v>
      </c>
      <c r="M13" s="15">
        <f t="shared" si="2"/>
        <v>104.332673899612</v>
      </c>
      <c r="N13" s="15">
        <f t="shared" si="3"/>
        <v>31.6160306675451</v>
      </c>
      <c r="O13" s="15">
        <f t="shared" si="4"/>
        <v>57.4333093042454</v>
      </c>
      <c r="P13" s="15">
        <f t="shared" si="5"/>
        <v>127.088936258205</v>
      </c>
      <c r="Q13" s="15">
        <f t="shared" si="6"/>
        <v>69.9602330933086</v>
      </c>
    </row>
    <row r="14" spans="2:17">
      <c r="B14" s="12">
        <v>10</v>
      </c>
      <c r="C14" s="12">
        <v>290</v>
      </c>
      <c r="D14" s="13">
        <v>235940</v>
      </c>
      <c r="E14" s="13">
        <v>27300</v>
      </c>
      <c r="F14" s="10" t="s">
        <v>161</v>
      </c>
      <c r="G14" s="15">
        <f t="shared" ref="G14:I14" si="21">AVERAGE(C13:C15)</f>
        <v>286.666666666667</v>
      </c>
      <c r="H14" s="15">
        <f t="shared" si="21"/>
        <v>237566.666666667</v>
      </c>
      <c r="I14" s="15">
        <f t="shared" si="21"/>
        <v>27333.3333333333</v>
      </c>
      <c r="J14" s="15">
        <f t="shared" ref="J14:L14" si="22">LN(G14)</f>
        <v>5.65832010057944</v>
      </c>
      <c r="K14" s="15">
        <f t="shared" si="22"/>
        <v>12.3782035648219</v>
      </c>
      <c r="L14" s="15">
        <f t="shared" si="22"/>
        <v>10.2158622375783</v>
      </c>
      <c r="M14" s="15">
        <f t="shared" si="2"/>
        <v>104.363841257178</v>
      </c>
      <c r="N14" s="15">
        <f t="shared" si="3"/>
        <v>32.0165863606214</v>
      </c>
      <c r="O14" s="15">
        <f t="shared" si="4"/>
        <v>57.8046186436397</v>
      </c>
      <c r="P14" s="15">
        <f t="shared" si="5"/>
        <v>126.45402236692</v>
      </c>
      <c r="Q14" s="15">
        <f t="shared" si="6"/>
        <v>70.0398380398956</v>
      </c>
    </row>
    <row r="15" spans="2:17">
      <c r="B15" s="12">
        <v>11</v>
      </c>
      <c r="C15" s="12">
        <v>290</v>
      </c>
      <c r="D15" s="13">
        <v>243520</v>
      </c>
      <c r="E15" s="13">
        <v>27400</v>
      </c>
      <c r="F15" s="10" t="s">
        <v>162</v>
      </c>
      <c r="G15" s="15">
        <f t="shared" ref="G15:I15" si="23">AVERAGE(C14:C16)</f>
        <v>290</v>
      </c>
      <c r="H15" s="15">
        <f t="shared" si="23"/>
        <v>245483.333333333</v>
      </c>
      <c r="I15" s="15">
        <f t="shared" si="23"/>
        <v>27400</v>
      </c>
      <c r="J15" s="15">
        <f t="shared" ref="J15:L15" si="24">LN(G15)</f>
        <v>5.66988092298052</v>
      </c>
      <c r="K15" s="15">
        <f t="shared" si="24"/>
        <v>12.4109843352496</v>
      </c>
      <c r="L15" s="15">
        <f t="shared" si="24"/>
        <v>10.2182982923762</v>
      </c>
      <c r="M15" s="15">
        <f t="shared" si="2"/>
        <v>104.413619991978</v>
      </c>
      <c r="N15" s="15">
        <f t="shared" si="3"/>
        <v>32.1475496807784</v>
      </c>
      <c r="O15" s="15">
        <f t="shared" si="4"/>
        <v>57.936534553268</v>
      </c>
      <c r="P15" s="15">
        <f t="shared" si="5"/>
        <v>126.819140039588</v>
      </c>
      <c r="Q15" s="15">
        <f t="shared" si="6"/>
        <v>70.3688033178417</v>
      </c>
    </row>
    <row r="16" spans="2:17">
      <c r="B16" s="12">
        <v>12</v>
      </c>
      <c r="C16" s="12">
        <v>290</v>
      </c>
      <c r="D16" s="13">
        <v>256990</v>
      </c>
      <c r="E16" s="13">
        <v>27500</v>
      </c>
      <c r="F16" s="10" t="s">
        <v>163</v>
      </c>
      <c r="G16" s="15">
        <f t="shared" ref="G16:I16" si="25">AVERAGE(C15:C17)</f>
        <v>276.666666666667</v>
      </c>
      <c r="H16" s="15">
        <f t="shared" si="25"/>
        <v>251530</v>
      </c>
      <c r="I16" s="15">
        <f t="shared" si="25"/>
        <v>27466.6666666667</v>
      </c>
      <c r="J16" s="15">
        <f t="shared" ref="J16:L16" si="26">LN(G16)</f>
        <v>5.62281341212253</v>
      </c>
      <c r="K16" s="15">
        <f t="shared" si="26"/>
        <v>12.4353175457024</v>
      </c>
      <c r="L16" s="15">
        <f t="shared" si="26"/>
        <v>10.2207284272295</v>
      </c>
      <c r="M16" s="15">
        <f t="shared" si="2"/>
        <v>104.463289583176</v>
      </c>
      <c r="N16" s="15">
        <f t="shared" si="3"/>
        <v>31.6160306675451</v>
      </c>
      <c r="O16" s="15">
        <f t="shared" si="4"/>
        <v>57.4692488822878</v>
      </c>
      <c r="P16" s="15">
        <f t="shared" si="5"/>
        <v>127.098003540985</v>
      </c>
      <c r="Q16" s="15">
        <f t="shared" si="6"/>
        <v>69.9214702799779</v>
      </c>
    </row>
    <row r="17" spans="2:17">
      <c r="B17" s="12">
        <v>13</v>
      </c>
      <c r="C17" s="12">
        <v>250</v>
      </c>
      <c r="D17" s="13">
        <v>254080</v>
      </c>
      <c r="E17" s="13">
        <v>27500</v>
      </c>
      <c r="F17" s="10" t="s">
        <v>164</v>
      </c>
      <c r="G17" s="15">
        <f t="shared" ref="G17:I17" si="27">AVERAGE(C16:C18)</f>
        <v>263.333333333333</v>
      </c>
      <c r="H17" s="15">
        <f t="shared" si="27"/>
        <v>257510</v>
      </c>
      <c r="I17" s="15">
        <f t="shared" si="27"/>
        <v>27666.6666666667</v>
      </c>
      <c r="J17" s="15">
        <f t="shared" ref="J17:L17" si="28">LN(G17)</f>
        <v>5.57342065679296</v>
      </c>
      <c r="K17" s="15">
        <f t="shared" si="28"/>
        <v>12.4588138332833</v>
      </c>
      <c r="L17" s="15">
        <f t="shared" si="28"/>
        <v>10.2279835981106</v>
      </c>
      <c r="M17" s="15">
        <f t="shared" si="2"/>
        <v>104.61164848322</v>
      </c>
      <c r="N17" s="15">
        <f t="shared" si="3"/>
        <v>31.0630178175664</v>
      </c>
      <c r="O17" s="15">
        <f t="shared" si="4"/>
        <v>57.0048550630493</v>
      </c>
      <c r="P17" s="15">
        <f t="shared" si="5"/>
        <v>127.428543538736</v>
      </c>
      <c r="Q17" s="15">
        <f t="shared" si="6"/>
        <v>69.4382103775591</v>
      </c>
    </row>
    <row r="18" spans="2:17">
      <c r="B18" s="12">
        <v>14</v>
      </c>
      <c r="C18" s="12">
        <v>250</v>
      </c>
      <c r="D18" s="13">
        <v>261460</v>
      </c>
      <c r="E18" s="13">
        <v>28000</v>
      </c>
      <c r="F18" s="10" t="s">
        <v>165</v>
      </c>
      <c r="G18" s="15">
        <f t="shared" ref="G18:I18" si="29">AVERAGE(C17:C19)</f>
        <v>250</v>
      </c>
      <c r="H18" s="15">
        <f t="shared" si="29"/>
        <v>259583.333333333</v>
      </c>
      <c r="I18" s="15">
        <f t="shared" si="29"/>
        <v>27833.3333333333</v>
      </c>
      <c r="J18" s="15">
        <f t="shared" ref="J18:L18" si="30">LN(G18)</f>
        <v>5.52146091786225</v>
      </c>
      <c r="K18" s="15">
        <f t="shared" si="30"/>
        <v>12.4668330604157</v>
      </c>
      <c r="L18" s="15">
        <f t="shared" si="30"/>
        <v>10.2339896221708</v>
      </c>
      <c r="M18" s="15">
        <f t="shared" si="2"/>
        <v>104.7345435867</v>
      </c>
      <c r="N18" s="15">
        <f t="shared" si="3"/>
        <v>30.4865306674802</v>
      </c>
      <c r="O18" s="15">
        <f t="shared" si="4"/>
        <v>56.5065737326241</v>
      </c>
      <c r="P18" s="15">
        <f t="shared" si="5"/>
        <v>127.58544016163</v>
      </c>
      <c r="Q18" s="15">
        <f t="shared" si="6"/>
        <v>68.8351315125982</v>
      </c>
    </row>
    <row r="19" spans="2:17">
      <c r="B19" s="12">
        <v>15</v>
      </c>
      <c r="C19" s="12">
        <v>250</v>
      </c>
      <c r="D19" s="13">
        <v>263210</v>
      </c>
      <c r="E19" s="13">
        <v>28000</v>
      </c>
      <c r="F19" s="10" t="s">
        <v>166</v>
      </c>
      <c r="G19" s="15">
        <f t="shared" ref="G19:I19" si="31">AVERAGE(C18:C20)</f>
        <v>250</v>
      </c>
      <c r="H19" s="15">
        <f t="shared" si="31"/>
        <v>264456.666666667</v>
      </c>
      <c r="I19" s="15">
        <f t="shared" si="31"/>
        <v>28000</v>
      </c>
      <c r="J19" s="15">
        <f t="shared" ref="J19:L19" si="32">LN(G19)</f>
        <v>5.52146091786225</v>
      </c>
      <c r="K19" s="15">
        <f t="shared" si="32"/>
        <v>12.4854326857308</v>
      </c>
      <c r="L19" s="15">
        <f t="shared" si="32"/>
        <v>10.2399597891573</v>
      </c>
      <c r="M19" s="15">
        <f t="shared" si="2"/>
        <v>104.856776483559</v>
      </c>
      <c r="N19" s="15">
        <f t="shared" si="3"/>
        <v>30.4865306674802</v>
      </c>
      <c r="O19" s="15">
        <f t="shared" si="4"/>
        <v>56.5395377763132</v>
      </c>
      <c r="P19" s="15">
        <f t="shared" si="5"/>
        <v>127.850328652114</v>
      </c>
      <c r="Q19" s="15">
        <f t="shared" si="6"/>
        <v>68.9378286168624</v>
      </c>
    </row>
    <row r="20" spans="2:17">
      <c r="B20" s="12">
        <v>16</v>
      </c>
      <c r="C20" s="12">
        <v>250</v>
      </c>
      <c r="D20" s="13">
        <v>268700</v>
      </c>
      <c r="E20" s="13">
        <v>28000</v>
      </c>
      <c r="F20" s="10" t="s">
        <v>167</v>
      </c>
      <c r="G20" s="15">
        <f t="shared" ref="G20:I20" si="33">AVERAGE(C19:C21)</f>
        <v>250</v>
      </c>
      <c r="H20" s="15">
        <f t="shared" si="33"/>
        <v>270176.666666667</v>
      </c>
      <c r="I20" s="15">
        <f t="shared" si="33"/>
        <v>28000</v>
      </c>
      <c r="J20" s="15">
        <f t="shared" ref="J20:L20" si="34">LN(G20)</f>
        <v>5.52146091786225</v>
      </c>
      <c r="K20" s="15">
        <f t="shared" si="34"/>
        <v>12.5068313449935</v>
      </c>
      <c r="L20" s="15">
        <f t="shared" si="34"/>
        <v>10.2399597891573</v>
      </c>
      <c r="M20" s="15">
        <f t="shared" si="2"/>
        <v>104.856776483559</v>
      </c>
      <c r="N20" s="15">
        <f t="shared" si="3"/>
        <v>30.4865306674802</v>
      </c>
      <c r="O20" s="15">
        <f t="shared" si="4"/>
        <v>56.5395377763132</v>
      </c>
      <c r="P20" s="15">
        <f t="shared" si="5"/>
        <v>128.069450062506</v>
      </c>
      <c r="Q20" s="15">
        <f t="shared" si="6"/>
        <v>69.0559804776762</v>
      </c>
    </row>
    <row r="21" ht="15.75" customHeight="1" spans="2:17">
      <c r="B21" s="12">
        <v>17</v>
      </c>
      <c r="C21" s="12">
        <v>250</v>
      </c>
      <c r="D21" s="13">
        <v>278620</v>
      </c>
      <c r="E21" s="13">
        <v>28000</v>
      </c>
      <c r="F21" s="10" t="s">
        <v>168</v>
      </c>
      <c r="G21" s="15">
        <f t="shared" ref="G21:I21" si="35">AVERAGE(C20:C22)</f>
        <v>256</v>
      </c>
      <c r="H21" s="15">
        <f t="shared" si="35"/>
        <v>276430</v>
      </c>
      <c r="I21" s="15">
        <f t="shared" si="35"/>
        <v>28000</v>
      </c>
      <c r="J21" s="15">
        <f t="shared" ref="J21:L21" si="36">LN(G21)</f>
        <v>5.54517744447956</v>
      </c>
      <c r="K21" s="15">
        <f t="shared" si="36"/>
        <v>12.529712903336</v>
      </c>
      <c r="L21" s="15">
        <f t="shared" si="36"/>
        <v>10.2399597891573</v>
      </c>
      <c r="M21" s="15">
        <f t="shared" si="2"/>
        <v>104.856776483559</v>
      </c>
      <c r="N21" s="15">
        <f t="shared" si="3"/>
        <v>30.7489928907649</v>
      </c>
      <c r="O21" s="15">
        <f t="shared" si="4"/>
        <v>56.782394055213</v>
      </c>
      <c r="P21" s="15">
        <f t="shared" si="5"/>
        <v>128.303756299847</v>
      </c>
      <c r="Q21" s="15">
        <f t="shared" si="6"/>
        <v>69.4794813773834</v>
      </c>
    </row>
    <row r="22" ht="15.75" customHeight="1" spans="2:17">
      <c r="B22" s="12">
        <v>18</v>
      </c>
      <c r="C22" s="12">
        <v>268</v>
      </c>
      <c r="D22" s="13">
        <v>281970</v>
      </c>
      <c r="E22" s="13">
        <v>28000</v>
      </c>
      <c r="F22" s="10" t="s">
        <v>169</v>
      </c>
      <c r="G22" s="15">
        <f t="shared" ref="G22:I22" si="37">AVERAGE(C21:C23)</f>
        <v>272.666666666667</v>
      </c>
      <c r="H22" s="15">
        <f t="shared" si="37"/>
        <v>282813.333333333</v>
      </c>
      <c r="I22" s="15">
        <f t="shared" si="37"/>
        <v>28333.3333333333</v>
      </c>
      <c r="J22" s="15">
        <f t="shared" ref="J22:L22" si="38">LN(G22)</f>
        <v>5.60825004793464</v>
      </c>
      <c r="K22" s="15">
        <f t="shared" si="38"/>
        <v>12.552542359465</v>
      </c>
      <c r="L22" s="15">
        <f t="shared" si="38"/>
        <v>10.2517942468043</v>
      </c>
      <c r="M22" s="15">
        <f t="shared" si="2"/>
        <v>105.099285278811</v>
      </c>
      <c r="N22" s="15">
        <f t="shared" si="3"/>
        <v>31.4524686001589</v>
      </c>
      <c r="O22" s="15">
        <f t="shared" si="4"/>
        <v>57.4946255760565</v>
      </c>
      <c r="P22" s="15">
        <f t="shared" si="5"/>
        <v>128.686081543532</v>
      </c>
      <c r="Q22" s="15">
        <f t="shared" si="6"/>
        <v>70.3977962891714</v>
      </c>
    </row>
    <row r="23" ht="15.75" customHeight="1" spans="2:17">
      <c r="B23" s="12">
        <v>19</v>
      </c>
      <c r="C23" s="12">
        <v>300</v>
      </c>
      <c r="D23" s="13">
        <v>287850</v>
      </c>
      <c r="E23" s="13">
        <v>29000</v>
      </c>
      <c r="F23" s="10" t="s">
        <v>170</v>
      </c>
      <c r="G23" s="15">
        <f t="shared" ref="G23:I23" si="39">AVERAGE(C22:C24)</f>
        <v>289.333333333333</v>
      </c>
      <c r="H23" s="15">
        <f t="shared" si="39"/>
        <v>285890</v>
      </c>
      <c r="I23" s="15">
        <f t="shared" si="39"/>
        <v>28666.6666666667</v>
      </c>
      <c r="J23" s="15">
        <f t="shared" ref="J23:L23" si="40">LN(G23)</f>
        <v>5.66757942599224</v>
      </c>
      <c r="K23" s="15">
        <f t="shared" si="40"/>
        <v>12.5633624004339</v>
      </c>
      <c r="L23" s="15">
        <f t="shared" si="40"/>
        <v>10.2634902865675</v>
      </c>
      <c r="M23" s="15">
        <f t="shared" si="2"/>
        <v>105.339232862466</v>
      </c>
      <c r="N23" s="15">
        <f t="shared" si="3"/>
        <v>32.1214565499305</v>
      </c>
      <c r="O23" s="15">
        <f t="shared" si="4"/>
        <v>58.1691463870214</v>
      </c>
      <c r="P23" s="15">
        <f t="shared" si="5"/>
        <v>128.943947963481</v>
      </c>
      <c r="Q23" s="15">
        <f t="shared" si="6"/>
        <v>71.2038542619837</v>
      </c>
    </row>
    <row r="24" ht="15.75" customHeight="1" spans="2:17">
      <c r="B24" s="16">
        <v>20</v>
      </c>
      <c r="C24" s="16">
        <v>300</v>
      </c>
      <c r="D24" s="17">
        <v>287850</v>
      </c>
      <c r="E24" s="17">
        <v>29000</v>
      </c>
      <c r="F24" s="18" t="s">
        <v>171</v>
      </c>
      <c r="G24" s="19">
        <f t="shared" ref="G24:I24" si="41">AVERAGE(C23:C25)</f>
        <v>300</v>
      </c>
      <c r="H24" s="19">
        <f t="shared" si="41"/>
        <v>287850</v>
      </c>
      <c r="I24" s="19">
        <f t="shared" si="41"/>
        <v>29000</v>
      </c>
      <c r="J24" s="19">
        <f t="shared" ref="J24:L24" si="42">LN(G24)</f>
        <v>5.7037824746562</v>
      </c>
      <c r="K24" s="19">
        <f t="shared" si="42"/>
        <v>12.570194790104</v>
      </c>
      <c r="L24" s="19">
        <f t="shared" si="42"/>
        <v>10.2750511089686</v>
      </c>
      <c r="M24" s="19">
        <f t="shared" si="2"/>
        <v>105.576675291917</v>
      </c>
      <c r="N24" s="19">
        <f t="shared" si="3"/>
        <v>32.5331345181952</v>
      </c>
      <c r="O24" s="19">
        <f t="shared" si="4"/>
        <v>58.6066564415319</v>
      </c>
      <c r="P24" s="19">
        <f t="shared" si="5"/>
        <v>129.159393918009</v>
      </c>
      <c r="Q24" s="19">
        <f t="shared" si="6"/>
        <v>71.6976567468096</v>
      </c>
    </row>
    <row r="25" ht="15.75" customHeight="1" spans="2:17">
      <c r="B25" s="20"/>
      <c r="C25" s="20"/>
      <c r="D25" s="20"/>
      <c r="E25" s="20"/>
      <c r="F25" s="20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ht="15.75" customHeight="1" spans="2:17">
      <c r="B26" s="20"/>
      <c r="C26" s="20"/>
      <c r="D26" s="20"/>
      <c r="E26" s="20"/>
      <c r="F26" s="2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ht="15.75" customHeight="1" spans="2:17">
      <c r="B27" s="20"/>
      <c r="C27" s="20"/>
      <c r="D27" s="20"/>
      <c r="E27" s="20"/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ht="15.75" customHeight="1" spans="2:17">
      <c r="B28" s="22"/>
      <c r="C28" s="22"/>
      <c r="D28" s="22"/>
      <c r="E28" s="22"/>
      <c r="F28" s="22"/>
      <c r="G28" s="22"/>
      <c r="H28" s="22"/>
      <c r="I28" s="22"/>
      <c r="J28" s="51"/>
      <c r="K28" s="52"/>
      <c r="L28" s="52"/>
      <c r="M28" s="52"/>
      <c r="N28" s="52"/>
      <c r="O28" s="52"/>
      <c r="P28" s="52"/>
      <c r="Q28" s="56"/>
    </row>
    <row r="29" ht="15.75" customHeight="1" spans="1:17">
      <c r="A29" s="23">
        <v>1</v>
      </c>
      <c r="B29" s="24" t="s">
        <v>172</v>
      </c>
      <c r="C29" s="25"/>
      <c r="D29" s="25"/>
      <c r="E29" s="25"/>
      <c r="F29" s="25"/>
      <c r="G29" s="25"/>
      <c r="H29" s="25"/>
      <c r="I29" s="38"/>
      <c r="J29" s="53">
        <f>SUM(J6:J28)</f>
        <v>106.215104862367</v>
      </c>
      <c r="K29" s="53">
        <f t="shared" ref="K29:Q29" si="43">SUM(K6:K27)</f>
        <v>234.164412154255</v>
      </c>
      <c r="L29" s="53">
        <f t="shared" si="43"/>
        <v>194.15242961536</v>
      </c>
      <c r="M29" s="53">
        <f t="shared" si="43"/>
        <v>1983.97399005249</v>
      </c>
      <c r="N29" s="53">
        <f t="shared" si="43"/>
        <v>593.82767404388</v>
      </c>
      <c r="O29" s="53">
        <f t="shared" si="43"/>
        <v>1085.37639517285</v>
      </c>
      <c r="P29" s="53">
        <f t="shared" si="43"/>
        <v>2392.97997878471</v>
      </c>
      <c r="Q29" s="53">
        <f t="shared" si="43"/>
        <v>1309.14967029363</v>
      </c>
    </row>
    <row r="30" ht="15.75" customHeight="1" spans="1:17">
      <c r="A30" s="26"/>
      <c r="I30" s="23">
        <v>1</v>
      </c>
      <c r="J30" s="24" t="s">
        <v>173</v>
      </c>
      <c r="K30" s="25"/>
      <c r="L30" s="25"/>
      <c r="M30" s="25"/>
      <c r="N30" s="25"/>
      <c r="O30" s="25"/>
      <c r="P30" s="25"/>
      <c r="Q30" s="38"/>
    </row>
    <row r="31" ht="15.75" customHeight="1" spans="7:9">
      <c r="G31" s="27"/>
      <c r="H31" s="27"/>
      <c r="I31" s="26"/>
    </row>
    <row r="32" ht="15.75" customHeight="1" spans="1:1">
      <c r="A32" s="23">
        <v>5</v>
      </c>
    </row>
    <row r="33" ht="15.75" customHeight="1" spans="1:9">
      <c r="A33" s="26"/>
      <c r="C33" s="28">
        <v>1257</v>
      </c>
      <c r="D33" s="28">
        <f t="shared" ref="D33:D35" si="44">$F$82*(E33^$F$83)*(C33^F84)</f>
        <v>867920.941186815</v>
      </c>
      <c r="E33" s="28">
        <v>60000</v>
      </c>
      <c r="G33" s="28">
        <f t="shared" ref="G33:I33" si="45">AVERAGE(C33:C35)</f>
        <v>1258</v>
      </c>
      <c r="H33" s="28">
        <f t="shared" si="45"/>
        <v>333358.813746239</v>
      </c>
      <c r="I33" s="28">
        <f t="shared" si="45"/>
        <v>60000</v>
      </c>
    </row>
    <row r="34" ht="15.75" customHeight="1" spans="3:5">
      <c r="C34" s="28">
        <v>1258</v>
      </c>
      <c r="D34" s="28">
        <f t="shared" si="44"/>
        <v>66077.75002595</v>
      </c>
      <c r="E34" s="28">
        <v>60000</v>
      </c>
    </row>
    <row r="35" ht="15.75" customHeight="1" spans="3:5">
      <c r="C35" s="28">
        <v>1259</v>
      </c>
      <c r="D35" s="28">
        <f t="shared" si="44"/>
        <v>66077.75002595</v>
      </c>
      <c r="E35" s="28">
        <v>60000</v>
      </c>
    </row>
    <row r="36" ht="15.75" customHeight="1" spans="1:9">
      <c r="A36" s="29" t="s">
        <v>174</v>
      </c>
      <c r="B36" s="25"/>
      <c r="C36" s="25"/>
      <c r="D36" s="25"/>
      <c r="E36" s="25"/>
      <c r="F36" s="25"/>
      <c r="G36" s="25"/>
      <c r="H36" s="25"/>
      <c r="I36" s="3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 spans="1:7">
      <c r="A56" s="30"/>
      <c r="B56" s="31"/>
      <c r="C56" s="32"/>
      <c r="D56" s="32"/>
      <c r="E56" s="32"/>
      <c r="F56" s="33"/>
      <c r="G56" s="34"/>
    </row>
    <row r="57" ht="15.75" customHeight="1" spans="1:7">
      <c r="A57" s="35"/>
      <c r="E57" s="36" t="s">
        <v>175</v>
      </c>
      <c r="G57" s="35"/>
    </row>
    <row r="58" ht="15.75" customHeight="1" spans="1:7">
      <c r="A58" s="35"/>
      <c r="B58" s="37" t="s">
        <v>176</v>
      </c>
      <c r="C58" s="38"/>
      <c r="E58" s="39" t="s">
        <v>177</v>
      </c>
      <c r="F58" s="40">
        <v>22</v>
      </c>
      <c r="G58" s="35"/>
    </row>
    <row r="59" ht="15.75" customHeight="1" spans="1:7">
      <c r="A59" s="35"/>
      <c r="B59" s="39" t="s">
        <v>178</v>
      </c>
      <c r="C59" s="41" t="s">
        <v>179</v>
      </c>
      <c r="G59" s="35"/>
    </row>
    <row r="60" ht="15.75" customHeight="1" spans="1:7">
      <c r="A60" s="35"/>
      <c r="B60" s="39" t="s">
        <v>180</v>
      </c>
      <c r="C60" s="41" t="s">
        <v>181</v>
      </c>
      <c r="G60" s="35"/>
    </row>
    <row r="61" ht="15.75" customHeight="1" spans="1:7">
      <c r="A61" s="35"/>
      <c r="B61" s="39" t="s">
        <v>182</v>
      </c>
      <c r="C61" s="41" t="s">
        <v>183</v>
      </c>
      <c r="G61" s="35"/>
    </row>
    <row r="62" ht="15.75" customHeight="1" spans="1:7">
      <c r="A62" s="42"/>
      <c r="G62" s="42"/>
    </row>
    <row r="63" ht="15.75" customHeight="1" spans="1:16">
      <c r="A63" s="23">
        <v>2</v>
      </c>
      <c r="B63" s="7" t="s">
        <v>184</v>
      </c>
      <c r="C63" s="25"/>
      <c r="D63" s="25"/>
      <c r="E63" s="25"/>
      <c r="F63" s="38"/>
      <c r="G63" s="43"/>
      <c r="H63" s="44"/>
      <c r="I63" s="44"/>
      <c r="J63" s="54"/>
      <c r="K63" s="31"/>
      <c r="L63" s="44"/>
      <c r="M63" s="44"/>
      <c r="N63" s="54"/>
      <c r="O63" s="44"/>
      <c r="P63" s="54"/>
    </row>
    <row r="64" ht="15.75" customHeight="1" spans="1:11">
      <c r="A64" s="26"/>
      <c r="G64" s="45"/>
      <c r="H64" s="46" t="s">
        <v>185</v>
      </c>
      <c r="I64" s="55" t="s">
        <v>186</v>
      </c>
      <c r="J64" s="55" t="s">
        <v>187</v>
      </c>
      <c r="K64" s="55" t="s">
        <v>188</v>
      </c>
    </row>
    <row r="65" ht="15.75" customHeight="1" spans="2:11">
      <c r="B65" s="57" t="s">
        <v>189</v>
      </c>
      <c r="C65" s="57" t="s">
        <v>190</v>
      </c>
      <c r="D65" s="57" t="s">
        <v>191</v>
      </c>
      <c r="F65" s="57" t="s">
        <v>192</v>
      </c>
      <c r="G65" s="45"/>
      <c r="H65" s="58">
        <f>H6</f>
        <v>104200</v>
      </c>
      <c r="I65" s="98">
        <f t="shared" ref="I65:I86" si="46">$F$82*(I6^$F$83)*(G6^$F$84)</f>
        <v>210465.590109774</v>
      </c>
      <c r="J65" s="98">
        <f t="shared" ref="J65:J86" si="47">(H65-I65)^2</f>
        <v>11292375641.3785</v>
      </c>
      <c r="K65" s="98">
        <f t="shared" ref="K65:K86" si="48">(H65-$H$89)^2</f>
        <v>9651693003.12213</v>
      </c>
    </row>
    <row r="66" ht="15.75" customHeight="1" spans="2:11">
      <c r="B66" s="59">
        <f>F58</f>
        <v>22</v>
      </c>
      <c r="C66" s="60">
        <f>L29</f>
        <v>194.15242961536</v>
      </c>
      <c r="D66" s="61">
        <f>J29</f>
        <v>106.215104862367</v>
      </c>
      <c r="E66" s="62" t="s">
        <v>193</v>
      </c>
      <c r="F66" s="61">
        <f>K29</f>
        <v>234.164412154255</v>
      </c>
      <c r="G66" s="45"/>
      <c r="H66" s="58">
        <f t="shared" ref="H65:H86" si="49">H7</f>
        <v>110323.333333333</v>
      </c>
      <c r="I66" s="98">
        <f t="shared" si="46"/>
        <v>208047.021651921</v>
      </c>
      <c r="J66" s="98">
        <f t="shared" si="47"/>
        <v>9549919258.58842</v>
      </c>
      <c r="K66" s="98">
        <f t="shared" si="48"/>
        <v>8486038569.78879</v>
      </c>
    </row>
    <row r="67" ht="15.75" customHeight="1" spans="2:11">
      <c r="B67" s="63"/>
      <c r="C67" s="63"/>
      <c r="D67" s="63"/>
      <c r="E67" s="64"/>
      <c r="F67" s="63"/>
      <c r="G67" s="45"/>
      <c r="H67" s="58">
        <f t="shared" si="49"/>
        <v>138140</v>
      </c>
      <c r="I67" s="98">
        <f t="shared" si="46"/>
        <v>212251.401150609</v>
      </c>
      <c r="J67" s="98">
        <f t="shared" si="47"/>
        <v>5492499780.50647</v>
      </c>
      <c r="K67" s="98">
        <f t="shared" si="48"/>
        <v>4134879706.15243</v>
      </c>
    </row>
    <row r="68" ht="15.75" customHeight="1" spans="2:11">
      <c r="B68" s="58" t="s">
        <v>190</v>
      </c>
      <c r="C68" s="58" t="s">
        <v>194</v>
      </c>
      <c r="D68" s="58" t="s">
        <v>195</v>
      </c>
      <c r="E68" s="65"/>
      <c r="F68" s="58" t="s">
        <v>196</v>
      </c>
      <c r="G68" s="45"/>
      <c r="H68" s="58">
        <f t="shared" si="49"/>
        <v>173040</v>
      </c>
      <c r="I68" s="98">
        <f t="shared" si="46"/>
        <v>217513.375587255</v>
      </c>
      <c r="J68" s="98">
        <f t="shared" si="47"/>
        <v>1977881136.12503</v>
      </c>
      <c r="K68" s="98">
        <f t="shared" si="48"/>
        <v>864538191.000917</v>
      </c>
    </row>
    <row r="69" ht="15.75" customHeight="1" spans="2:11">
      <c r="B69" s="59">
        <f t="shared" ref="B69:C69" si="50">L29</f>
        <v>194.15242961536</v>
      </c>
      <c r="C69" s="60">
        <f t="shared" si="50"/>
        <v>1983.97399005249</v>
      </c>
      <c r="D69" s="61">
        <f>O29</f>
        <v>1085.37639517285</v>
      </c>
      <c r="E69" s="62" t="s">
        <v>193</v>
      </c>
      <c r="F69" s="61">
        <f>P29</f>
        <v>2392.97997878471</v>
      </c>
      <c r="G69" s="45"/>
      <c r="H69" s="58">
        <f t="shared" si="49"/>
        <v>226283.333333333</v>
      </c>
      <c r="I69" s="98">
        <f t="shared" si="46"/>
        <v>222943.291916279</v>
      </c>
      <c r="J69" s="98">
        <f t="shared" si="47"/>
        <v>11155876.6676362</v>
      </c>
      <c r="K69" s="98">
        <f t="shared" si="48"/>
        <v>568360048.576678</v>
      </c>
    </row>
    <row r="70" ht="15.75" customHeight="1" spans="2:11">
      <c r="B70" s="65"/>
      <c r="C70" s="65"/>
      <c r="D70" s="65"/>
      <c r="E70" s="65"/>
      <c r="F70" s="65"/>
      <c r="G70" s="45"/>
      <c r="H70" s="58">
        <f t="shared" si="49"/>
        <v>262560</v>
      </c>
      <c r="I70" s="98">
        <f t="shared" si="46"/>
        <v>221542.637490226</v>
      </c>
      <c r="J70" s="98">
        <f t="shared" si="47"/>
        <v>1682424027.25818</v>
      </c>
      <c r="K70" s="98">
        <f t="shared" si="48"/>
        <v>3614050045.54638</v>
      </c>
    </row>
    <row r="71" ht="15.75" customHeight="1" spans="2:11">
      <c r="B71" s="58" t="s">
        <v>191</v>
      </c>
      <c r="C71" s="58" t="s">
        <v>195</v>
      </c>
      <c r="D71" s="58" t="s">
        <v>197</v>
      </c>
      <c r="E71" s="65"/>
      <c r="F71" s="58" t="s">
        <v>198</v>
      </c>
      <c r="G71" s="45"/>
      <c r="H71" s="58">
        <f t="shared" si="49"/>
        <v>266640</v>
      </c>
      <c r="I71" s="98">
        <f t="shared" si="46"/>
        <v>223852.046893974</v>
      </c>
      <c r="J71" s="98">
        <f t="shared" si="47"/>
        <v>1830808931.00346</v>
      </c>
      <c r="K71" s="98">
        <f t="shared" si="48"/>
        <v>4121250918.27365</v>
      </c>
    </row>
    <row r="72" ht="15.75" customHeight="1" spans="2:11">
      <c r="B72" s="59">
        <f>J29</f>
        <v>106.215104862367</v>
      </c>
      <c r="C72" s="60">
        <f>O29</f>
        <v>1085.37639517285</v>
      </c>
      <c r="D72" s="61">
        <f>N29</f>
        <v>593.82767404388</v>
      </c>
      <c r="E72" s="62" t="s">
        <v>193</v>
      </c>
      <c r="F72" s="61">
        <f>Q29</f>
        <v>1309.14967029363</v>
      </c>
      <c r="G72" s="45"/>
      <c r="H72" s="58">
        <f t="shared" si="49"/>
        <v>253270</v>
      </c>
      <c r="I72" s="98">
        <f t="shared" si="46"/>
        <v>226985.578304872</v>
      </c>
      <c r="J72" s="98">
        <f t="shared" si="47"/>
        <v>690870823.847309</v>
      </c>
      <c r="K72" s="98">
        <f t="shared" si="48"/>
        <v>2583380848.57668</v>
      </c>
    </row>
    <row r="73" ht="15.75" customHeight="1" spans="7:11">
      <c r="G73" s="45"/>
      <c r="H73" s="58">
        <f t="shared" si="49"/>
        <v>237566.666666667</v>
      </c>
      <c r="I73" s="98">
        <f t="shared" si="46"/>
        <v>230266.875762125</v>
      </c>
      <c r="J73" s="98">
        <f t="shared" si="47"/>
        <v>53286947.2500319</v>
      </c>
      <c r="K73" s="98">
        <f t="shared" si="48"/>
        <v>1233669831.40496</v>
      </c>
    </row>
    <row r="74" ht="15.75" customHeight="1" spans="7:11">
      <c r="G74" s="45"/>
      <c r="H74" s="58">
        <f t="shared" si="49"/>
        <v>245483.333333333</v>
      </c>
      <c r="I74" s="98">
        <f t="shared" si="46"/>
        <v>231798.673462895</v>
      </c>
      <c r="J74" s="98">
        <f t="shared" si="47"/>
        <v>187269915.769574</v>
      </c>
      <c r="K74" s="98">
        <f t="shared" si="48"/>
        <v>1852467684.94032</v>
      </c>
    </row>
    <row r="75" ht="15.75" customHeight="1" spans="7:11">
      <c r="G75" s="45"/>
      <c r="H75" s="58">
        <f t="shared" si="49"/>
        <v>251530</v>
      </c>
      <c r="I75" s="98">
        <f t="shared" si="46"/>
        <v>228454.457289466</v>
      </c>
      <c r="J75" s="98">
        <f t="shared" si="47"/>
        <v>532480671.385668</v>
      </c>
      <c r="K75" s="98">
        <f t="shared" si="48"/>
        <v>2409530594.03122</v>
      </c>
    </row>
    <row r="76" ht="15.75" customHeight="1" spans="2:11">
      <c r="B76" s="66">
        <f>F58</f>
        <v>22</v>
      </c>
      <c r="C76" s="61">
        <f>L29</f>
        <v>194.15242961536</v>
      </c>
      <c r="D76" s="61">
        <f>J29</f>
        <v>106.215104862367</v>
      </c>
      <c r="E76" s="62" t="s">
        <v>199</v>
      </c>
      <c r="F76" s="61">
        <f>K29</f>
        <v>234.164412154255</v>
      </c>
      <c r="G76" s="45"/>
      <c r="H76" s="58">
        <f t="shared" si="49"/>
        <v>257510</v>
      </c>
      <c r="I76" s="98">
        <f t="shared" si="46"/>
        <v>226067.759329802</v>
      </c>
      <c r="J76" s="98">
        <f t="shared" si="47"/>
        <v>988614498.362633</v>
      </c>
      <c r="K76" s="98">
        <f t="shared" si="48"/>
        <v>3032371151.60698</v>
      </c>
    </row>
    <row r="77" ht="15.75" customHeight="1" spans="2:11">
      <c r="B77" s="66">
        <f t="shared" ref="B77:C77" si="51">L29</f>
        <v>194.15242961536</v>
      </c>
      <c r="C77" s="61">
        <f t="shared" si="51"/>
        <v>1983.97399005249</v>
      </c>
      <c r="D77" s="61">
        <f>O29</f>
        <v>1085.37639517285</v>
      </c>
      <c r="E77" s="62" t="s">
        <v>199</v>
      </c>
      <c r="F77" s="61">
        <f>P29</f>
        <v>2392.97997878471</v>
      </c>
      <c r="G77" s="45"/>
      <c r="H77" s="58">
        <f t="shared" si="49"/>
        <v>259583.333333333</v>
      </c>
      <c r="I77" s="98">
        <f t="shared" si="46"/>
        <v>223217.300778364</v>
      </c>
      <c r="J77" s="98">
        <f t="shared" si="47"/>
        <v>1322488323.7891</v>
      </c>
      <c r="K77" s="98">
        <f t="shared" si="48"/>
        <v>3265014230.39486</v>
      </c>
    </row>
    <row r="78" ht="15.75" customHeight="1" spans="2:11">
      <c r="B78" s="66">
        <f>J29</f>
        <v>106.215104862367</v>
      </c>
      <c r="C78" s="61">
        <f>O29</f>
        <v>1085.37639517285</v>
      </c>
      <c r="D78" s="61">
        <f>N29</f>
        <v>593.82767404388</v>
      </c>
      <c r="E78" s="62" t="s">
        <v>199</v>
      </c>
      <c r="F78" s="61">
        <f>Q29</f>
        <v>1309.14967029363</v>
      </c>
      <c r="G78" s="45"/>
      <c r="H78" s="58">
        <f t="shared" si="49"/>
        <v>264456.666666667</v>
      </c>
      <c r="I78" s="98">
        <f t="shared" si="46"/>
        <v>224566.233536435</v>
      </c>
      <c r="J78" s="98">
        <f t="shared" si="47"/>
        <v>1591246655.31752</v>
      </c>
      <c r="K78" s="98">
        <f t="shared" si="48"/>
        <v>3845691095.04133</v>
      </c>
    </row>
    <row r="79" ht="15.75" customHeight="1" spans="7:11">
      <c r="G79" s="45"/>
      <c r="H79" s="58">
        <f t="shared" si="49"/>
        <v>270176.666666667</v>
      </c>
      <c r="I79" s="98">
        <f t="shared" si="46"/>
        <v>224566.233536435</v>
      </c>
      <c r="J79" s="98">
        <f t="shared" si="47"/>
        <v>2080311610.32738</v>
      </c>
      <c r="K79" s="98">
        <f t="shared" si="48"/>
        <v>4587845495.04133</v>
      </c>
    </row>
    <row r="80" ht="15.75" customHeight="1" spans="2:11">
      <c r="B80" s="2" t="s">
        <v>200</v>
      </c>
      <c r="C80" s="67" t="s">
        <v>201</v>
      </c>
      <c r="D80" s="2" t="s">
        <v>202</v>
      </c>
      <c r="G80" s="45"/>
      <c r="H80" s="58">
        <f t="shared" si="49"/>
        <v>276430</v>
      </c>
      <c r="I80" s="98">
        <f t="shared" si="46"/>
        <v>226496.39464437</v>
      </c>
      <c r="J80" s="98">
        <f t="shared" si="47"/>
        <v>2493364943.81177</v>
      </c>
      <c r="K80" s="98">
        <f t="shared" si="48"/>
        <v>5474071684.94032</v>
      </c>
    </row>
    <row r="81" ht="15.75" customHeight="1" spans="2:11">
      <c r="B81" s="1" t="s">
        <v>203</v>
      </c>
      <c r="G81" s="45"/>
      <c r="H81" s="58">
        <f t="shared" si="49"/>
        <v>282813.333333333</v>
      </c>
      <c r="I81" s="98">
        <f t="shared" si="46"/>
        <v>234494.570842006</v>
      </c>
      <c r="J81" s="98">
        <f t="shared" si="47"/>
        <v>2334702808.69331</v>
      </c>
      <c r="K81" s="98">
        <f t="shared" si="48"/>
        <v>6459385609.18274</v>
      </c>
    </row>
    <row r="82" ht="15.75" customHeight="1" spans="2:11">
      <c r="B82" s="39" t="s">
        <v>178</v>
      </c>
      <c r="C82" s="68">
        <f t="array" ref="C82:C84">MMULT(MINVERSE(B76:D78),F76:F78)</f>
        <v>-0.00447027369261832</v>
      </c>
      <c r="D82" s="67" t="s">
        <v>204</v>
      </c>
      <c r="E82" s="69" t="s">
        <v>205</v>
      </c>
      <c r="F82" s="68">
        <f>EXP(C82)</f>
        <v>0.995539703108944</v>
      </c>
      <c r="G82" s="45"/>
      <c r="H82" s="58">
        <f t="shared" si="49"/>
        <v>285890</v>
      </c>
      <c r="I82" s="98">
        <f t="shared" si="46"/>
        <v>242413.604576209</v>
      </c>
      <c r="J82" s="98">
        <f t="shared" si="47"/>
        <v>1890196959.0458</v>
      </c>
      <c r="K82" s="98">
        <f t="shared" si="48"/>
        <v>6963396751.60698</v>
      </c>
    </row>
    <row r="83" ht="15.75" customHeight="1" spans="2:11">
      <c r="B83" s="39" t="s">
        <v>180</v>
      </c>
      <c r="C83" s="68">
        <v>1.0091762292941</v>
      </c>
      <c r="D83" s="67" t="s">
        <v>204</v>
      </c>
      <c r="E83" s="69" t="s">
        <v>206</v>
      </c>
      <c r="F83" s="68">
        <f t="shared" ref="F83:F84" si="52">C83</f>
        <v>1.0091762292941</v>
      </c>
      <c r="G83" s="45"/>
      <c r="H83" s="58">
        <f t="shared" si="49"/>
        <v>287850</v>
      </c>
      <c r="I83" s="98">
        <f t="shared" si="46"/>
        <v>248483.514252609</v>
      </c>
      <c r="J83" s="98">
        <f t="shared" si="47"/>
        <v>1549720200.09956</v>
      </c>
      <c r="K83" s="98">
        <f t="shared" si="48"/>
        <v>7294350472.81911</v>
      </c>
    </row>
    <row r="84" ht="15.75" customHeight="1" spans="2:11">
      <c r="B84" s="39" t="s">
        <v>182</v>
      </c>
      <c r="C84" s="68">
        <v>0.360859610296757</v>
      </c>
      <c r="D84" s="67" t="s">
        <v>204</v>
      </c>
      <c r="E84" s="69" t="s">
        <v>207</v>
      </c>
      <c r="F84" s="68">
        <f t="shared" si="52"/>
        <v>0.360859610296757</v>
      </c>
      <c r="G84" s="45"/>
      <c r="H84" s="58">
        <f t="shared" si="49"/>
        <v>0</v>
      </c>
      <c r="I84" s="98">
        <f t="shared" si="46"/>
        <v>0</v>
      </c>
      <c r="J84" s="98">
        <f t="shared" si="47"/>
        <v>0</v>
      </c>
      <c r="K84" s="98">
        <f t="shared" si="48"/>
        <v>40983180518.2736</v>
      </c>
    </row>
    <row r="85" ht="15.75" customHeight="1" spans="7:11">
      <c r="G85" s="45"/>
      <c r="H85" s="58">
        <f t="shared" si="49"/>
        <v>0</v>
      </c>
      <c r="I85" s="98">
        <f t="shared" si="46"/>
        <v>0</v>
      </c>
      <c r="J85" s="98">
        <f t="shared" si="47"/>
        <v>0</v>
      </c>
      <c r="K85" s="98">
        <f t="shared" si="48"/>
        <v>40983180518.2736</v>
      </c>
    </row>
    <row r="86" ht="15.75" customHeight="1" spans="2:11">
      <c r="B86" s="70" t="s">
        <v>208</v>
      </c>
      <c r="C86" s="71"/>
      <c r="D86" s="71"/>
      <c r="E86" s="71"/>
      <c r="F86" s="72"/>
      <c r="G86" s="45"/>
      <c r="H86" s="58">
        <f t="shared" si="49"/>
        <v>0</v>
      </c>
      <c r="I86" s="98">
        <f t="shared" si="46"/>
        <v>0</v>
      </c>
      <c r="J86" s="98">
        <f t="shared" si="47"/>
        <v>0</v>
      </c>
      <c r="K86" s="98">
        <f t="shared" si="48"/>
        <v>40983180518.2736</v>
      </c>
    </row>
    <row r="87" ht="15.75" customHeight="1" spans="2:7">
      <c r="B87" s="73"/>
      <c r="C87" s="52"/>
      <c r="D87" s="52"/>
      <c r="E87" s="52"/>
      <c r="F87" s="56"/>
      <c r="G87" s="45"/>
    </row>
    <row r="88" ht="15.75" customHeight="1" spans="7:10">
      <c r="G88" s="45"/>
      <c r="H88" s="74" t="s">
        <v>209</v>
      </c>
      <c r="J88" s="74" t="s">
        <v>210</v>
      </c>
    </row>
    <row r="89" ht="15.75" customHeight="1" spans="1:12">
      <c r="A89" s="23">
        <v>2</v>
      </c>
      <c r="B89" s="75" t="s">
        <v>173</v>
      </c>
      <c r="C89" s="71"/>
      <c r="D89" s="71"/>
      <c r="E89" s="71"/>
      <c r="F89" s="72"/>
      <c r="G89" s="45"/>
      <c r="H89" s="76">
        <f>AVERAGE(H65:H86)</f>
        <v>202443.03030303</v>
      </c>
      <c r="J89" s="76">
        <f>SQRT(1-(SUM(J65:J86)/SUM(K65:K86)))</f>
        <v>0.875332217230745</v>
      </c>
      <c r="K89" s="99" t="s">
        <v>211</v>
      </c>
      <c r="L89" s="72"/>
    </row>
    <row r="90" ht="15.75" customHeight="1" spans="1:16">
      <c r="A90" s="26"/>
      <c r="B90" s="73"/>
      <c r="C90" s="52"/>
      <c r="D90" s="52"/>
      <c r="E90" s="52"/>
      <c r="F90" s="56"/>
      <c r="G90" s="31"/>
      <c r="H90" s="44"/>
      <c r="I90" s="44"/>
      <c r="J90" s="54"/>
      <c r="K90" s="100"/>
      <c r="L90" s="101"/>
      <c r="M90" s="31"/>
      <c r="N90" s="44"/>
      <c r="O90" s="44"/>
      <c r="P90" s="54"/>
    </row>
    <row r="91" ht="15.75" customHeight="1" spans="11:12">
      <c r="K91" s="73"/>
      <c r="L91" s="56"/>
    </row>
    <row r="92" ht="15.75" customHeight="1"/>
    <row r="93" ht="15.75" customHeight="1" spans="1:13">
      <c r="A93" s="23">
        <v>3</v>
      </c>
      <c r="B93" s="75" t="s">
        <v>212</v>
      </c>
      <c r="C93" s="71"/>
      <c r="D93" s="71"/>
      <c r="E93" s="71"/>
      <c r="F93" s="71"/>
      <c r="G93" s="71"/>
      <c r="H93" s="71"/>
      <c r="I93" s="72"/>
      <c r="J93" s="102"/>
      <c r="K93" s="103"/>
      <c r="L93" s="103"/>
      <c r="M93" s="104"/>
    </row>
    <row r="94" ht="15.75" customHeight="1" spans="1:13">
      <c r="A94" s="26"/>
      <c r="B94" s="73"/>
      <c r="C94" s="52"/>
      <c r="D94" s="52"/>
      <c r="E94" s="52"/>
      <c r="F94" s="52"/>
      <c r="G94" s="52"/>
      <c r="H94" s="52"/>
      <c r="I94" s="56"/>
      <c r="J94" s="105"/>
      <c r="K94" s="106"/>
      <c r="L94" s="106"/>
      <c r="M94" s="107"/>
    </row>
    <row r="95" ht="15.75" customHeight="1" spans="13:13">
      <c r="M95" s="86"/>
    </row>
    <row r="96" ht="15.75" customHeight="1" spans="13:13">
      <c r="M96" s="86"/>
    </row>
    <row r="97" ht="15.75" customHeight="1" spans="4:13">
      <c r="D97" s="74" t="s">
        <v>213</v>
      </c>
      <c r="M97" s="86"/>
    </row>
    <row r="98" ht="15.75" customHeight="1" spans="13:13">
      <c r="M98" s="86"/>
    </row>
    <row r="99" ht="15.75" customHeight="1" spans="2:13">
      <c r="B99" s="77" t="s">
        <v>214</v>
      </c>
      <c r="C99" s="25"/>
      <c r="D99" s="38"/>
      <c r="M99" s="86"/>
    </row>
    <row r="100" ht="15.75" customHeight="1" spans="2:13">
      <c r="B100" s="78"/>
      <c r="M100" s="86"/>
    </row>
    <row r="101" ht="15.75" customHeight="1" spans="2:13">
      <c r="B101" s="74" t="s">
        <v>215</v>
      </c>
      <c r="C101" s="78"/>
      <c r="M101" s="86"/>
    </row>
    <row r="102" ht="15.75" customHeight="1" spans="13:13">
      <c r="M102" s="86"/>
    </row>
    <row r="103" ht="15.75" customHeight="1" spans="2:13">
      <c r="B103" s="79" t="s">
        <v>216</v>
      </c>
      <c r="C103" s="79" t="s">
        <v>217</v>
      </c>
      <c r="D103" s="79" t="s">
        <v>218</v>
      </c>
      <c r="M103" s="86"/>
    </row>
    <row r="104" ht="15.75" customHeight="1" spans="2:13">
      <c r="B104" s="58">
        <f>H89</f>
        <v>202443.03030303</v>
      </c>
      <c r="C104" s="58">
        <f>AVERAGE(I6:I27)</f>
        <v>27419.7368421053</v>
      </c>
      <c r="D104" s="58">
        <f>AVERAGE(G6:G27)</f>
        <v>268.210526315789</v>
      </c>
      <c r="M104" s="86"/>
    </row>
    <row r="105" ht="15.75" customHeight="1" spans="13:13">
      <c r="M105" s="86"/>
    </row>
    <row r="106" ht="15.75" customHeight="1" spans="13:13">
      <c r="M106" s="86"/>
    </row>
    <row r="107" ht="15.75" customHeight="1" spans="2:13">
      <c r="B107" s="80" t="s">
        <v>219</v>
      </c>
      <c r="C107" s="81">
        <f>(F84)*(B104/D104)</f>
        <v>272.373773042872</v>
      </c>
      <c r="D107" s="81" t="s">
        <v>220</v>
      </c>
      <c r="E107" s="82" t="s">
        <v>221</v>
      </c>
      <c r="M107" s="86"/>
    </row>
    <row r="108" ht="15.75" customHeight="1" spans="2:13">
      <c r="B108" s="80" t="s">
        <v>222</v>
      </c>
      <c r="C108" s="81">
        <f>F83*(B104/C104)</f>
        <v>7.45086268130635</v>
      </c>
      <c r="D108" s="81" t="s">
        <v>220</v>
      </c>
      <c r="E108" s="82" t="s">
        <v>223</v>
      </c>
      <c r="M108" s="86"/>
    </row>
    <row r="109" ht="15.75" customHeight="1" spans="13:13">
      <c r="M109" s="86"/>
    </row>
    <row r="110" ht="15.75" customHeight="1" spans="13:13">
      <c r="M110" s="86"/>
    </row>
    <row r="111" ht="15.75" customHeight="1" spans="13:13">
      <c r="M111" s="86"/>
    </row>
    <row r="112" ht="15.75" customHeight="1" spans="1:13">
      <c r="A112" s="23">
        <v>3</v>
      </c>
      <c r="M112" s="86"/>
    </row>
    <row r="113" ht="15.75" customHeight="1" spans="1:13">
      <c r="A113" s="26"/>
      <c r="B113" s="31"/>
      <c r="C113" s="44"/>
      <c r="D113" s="44"/>
      <c r="E113" s="44"/>
      <c r="F113" s="44"/>
      <c r="G113" s="44"/>
      <c r="H113" s="44"/>
      <c r="I113" s="44"/>
      <c r="J113" s="44"/>
      <c r="K113" s="44"/>
      <c r="L113" s="54"/>
      <c r="M113" s="108"/>
    </row>
    <row r="114" ht="15.75" customHeight="1"/>
    <row r="115" ht="15.75" customHeight="1"/>
    <row r="116" ht="15.75" customHeight="1"/>
    <row r="117" ht="15.75" customHeight="1" spans="1:8">
      <c r="A117" s="83">
        <v>4</v>
      </c>
      <c r="B117" s="31"/>
      <c r="C117" s="44"/>
      <c r="D117" s="44"/>
      <c r="E117" s="44"/>
      <c r="F117" s="44"/>
      <c r="G117" s="44"/>
      <c r="H117" s="44"/>
    </row>
    <row r="118" ht="15.75" customHeight="1" spans="1:8">
      <c r="A118" s="73"/>
      <c r="B118" s="84" t="s">
        <v>224</v>
      </c>
      <c r="C118" s="25"/>
      <c r="D118" s="25"/>
      <c r="E118" s="25"/>
      <c r="F118" s="25"/>
      <c r="G118" s="25"/>
      <c r="H118" s="38"/>
    </row>
    <row r="119" ht="15.75" customHeight="1" spans="8:8">
      <c r="H119" s="85"/>
    </row>
    <row r="120" ht="15.75" customHeight="1" spans="8:8">
      <c r="H120" s="86"/>
    </row>
    <row r="121" ht="15.75" customHeight="1" spans="8:8">
      <c r="H121" s="86"/>
    </row>
    <row r="122" ht="15.75" customHeight="1" spans="8:8">
      <c r="H122" s="86"/>
    </row>
    <row r="123" ht="15.75" customHeight="1" spans="2:8">
      <c r="B123" s="87" t="s">
        <v>225</v>
      </c>
      <c r="H123" s="86"/>
    </row>
    <row r="124" ht="15.75" customHeight="1" spans="2:8">
      <c r="B124" s="88" t="s">
        <v>226</v>
      </c>
      <c r="D124" s="89">
        <f>F84</f>
        <v>0.360859610296757</v>
      </c>
      <c r="H124" s="86"/>
    </row>
    <row r="125" ht="15.75" customHeight="1" spans="8:8">
      <c r="H125" s="86"/>
    </row>
    <row r="126" ht="15.75" customHeight="1" spans="2:8">
      <c r="B126" s="90" t="s">
        <v>227</v>
      </c>
      <c r="C126" s="91"/>
      <c r="D126" s="91"/>
      <c r="E126" s="91"/>
      <c r="F126" s="91"/>
      <c r="G126" s="92"/>
      <c r="H126" s="86"/>
    </row>
    <row r="127" ht="15.75" customHeight="1" spans="2:8">
      <c r="B127" s="93" t="s">
        <v>228</v>
      </c>
      <c r="G127" s="94"/>
      <c r="H127" s="86"/>
    </row>
    <row r="128" ht="15.75" customHeight="1" spans="2:8">
      <c r="B128" s="95" t="s">
        <v>229</v>
      </c>
      <c r="C128" s="96"/>
      <c r="D128" s="96"/>
      <c r="E128" s="96"/>
      <c r="F128" s="96"/>
      <c r="G128" s="97"/>
      <c r="H128" s="86"/>
    </row>
    <row r="129" ht="15.75" customHeight="1" spans="8:8">
      <c r="H129" s="86"/>
    </row>
    <row r="130" ht="15.75" customHeight="1" spans="2:8">
      <c r="B130" s="87" t="s">
        <v>230</v>
      </c>
      <c r="H130" s="86"/>
    </row>
    <row r="131" ht="15.75" customHeight="1" spans="8:8">
      <c r="H131" s="86"/>
    </row>
    <row r="132" ht="15.75" customHeight="1" spans="2:8">
      <c r="B132" s="88" t="s">
        <v>231</v>
      </c>
      <c r="D132" s="89">
        <f>F83</f>
        <v>1.0091762292941</v>
      </c>
      <c r="H132" s="86"/>
    </row>
    <row r="133" ht="15.75" customHeight="1" spans="8:8">
      <c r="H133" s="86"/>
    </row>
    <row r="134" ht="15.75" customHeight="1" spans="2:8">
      <c r="B134" s="90" t="s">
        <v>232</v>
      </c>
      <c r="C134" s="91"/>
      <c r="D134" s="91"/>
      <c r="E134" s="91"/>
      <c r="F134" s="91"/>
      <c r="G134" s="92"/>
      <c r="H134" s="86"/>
    </row>
    <row r="135" ht="15.75" customHeight="1" spans="2:8">
      <c r="B135" s="93" t="s">
        <v>233</v>
      </c>
      <c r="G135" s="94"/>
      <c r="H135" s="86"/>
    </row>
    <row r="136" ht="15.75" customHeight="1" spans="2:8">
      <c r="B136" s="95" t="s">
        <v>234</v>
      </c>
      <c r="C136" s="96"/>
      <c r="D136" s="96"/>
      <c r="E136" s="96"/>
      <c r="F136" s="96"/>
      <c r="G136" s="97"/>
      <c r="H136" s="86"/>
    </row>
    <row r="137" ht="15.75" customHeight="1" spans="8:8">
      <c r="H137" s="86"/>
    </row>
    <row r="138" ht="15.75" customHeight="1" spans="2:8">
      <c r="B138" s="74" t="s">
        <v>235</v>
      </c>
      <c r="H138" s="86"/>
    </row>
    <row r="139" ht="15.75" customHeight="1" spans="2:8">
      <c r="B139" s="109" t="s">
        <v>236</v>
      </c>
      <c r="C139" s="71"/>
      <c r="D139" s="71"/>
      <c r="E139" s="71"/>
      <c r="F139" s="72"/>
      <c r="H139" s="86"/>
    </row>
    <row r="140" ht="15.75" customHeight="1" spans="2:8">
      <c r="B140" s="100"/>
      <c r="F140" s="101"/>
      <c r="H140" s="86"/>
    </row>
    <row r="141" ht="15.75" customHeight="1" spans="2:8">
      <c r="B141" s="100"/>
      <c r="F141" s="101"/>
      <c r="H141" s="86"/>
    </row>
    <row r="142" ht="15.75" customHeight="1" spans="2:8">
      <c r="B142" s="100"/>
      <c r="F142" s="101"/>
      <c r="H142" s="86"/>
    </row>
    <row r="143" ht="15.75" customHeight="1" spans="2:8">
      <c r="B143" s="100"/>
      <c r="F143" s="101"/>
      <c r="H143" s="86"/>
    </row>
    <row r="144" ht="15.75" customHeight="1" spans="2:8">
      <c r="B144" s="73"/>
      <c r="C144" s="52"/>
      <c r="D144" s="52"/>
      <c r="E144" s="52"/>
      <c r="F144" s="56"/>
      <c r="H144" s="86"/>
    </row>
    <row r="145" ht="15.75" customHeight="1" spans="1:8">
      <c r="A145" s="83">
        <v>4</v>
      </c>
      <c r="H145" s="86"/>
    </row>
    <row r="146" ht="15.75" customHeight="1" spans="1:8">
      <c r="A146" s="73"/>
      <c r="B146" s="31"/>
      <c r="C146" s="44"/>
      <c r="D146" s="44"/>
      <c r="E146" s="44"/>
      <c r="F146" s="44"/>
      <c r="G146" s="44"/>
      <c r="H146" s="54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G3:I3"/>
    <mergeCell ref="J28:Q28"/>
    <mergeCell ref="B29:I29"/>
    <mergeCell ref="J30:Q30"/>
    <mergeCell ref="A36:I36"/>
    <mergeCell ref="B58:C58"/>
    <mergeCell ref="B63:F63"/>
    <mergeCell ref="B99:D99"/>
    <mergeCell ref="E107:G107"/>
    <mergeCell ref="E108:G108"/>
    <mergeCell ref="B118:H118"/>
    <mergeCell ref="A29:A30"/>
    <mergeCell ref="A32:A33"/>
    <mergeCell ref="A63:A64"/>
    <mergeCell ref="A89:A90"/>
    <mergeCell ref="A93:A94"/>
    <mergeCell ref="A112:A113"/>
    <mergeCell ref="A117:A118"/>
    <mergeCell ref="A145:A146"/>
    <mergeCell ref="I30:I31"/>
    <mergeCell ref="J2:J3"/>
    <mergeCell ref="Q2:Q3"/>
    <mergeCell ref="B139:F144"/>
    <mergeCell ref="B89:F90"/>
    <mergeCell ref="B86:F87"/>
    <mergeCell ref="K89:L91"/>
    <mergeCell ref="B93:I94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МОБ 8</vt:lpstr>
      <vt:lpstr>Равновесные модели FC №1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fergus</cp:lastModifiedBy>
  <dcterms:created xsi:type="dcterms:W3CDTF">2006-09-16T00:00:00Z</dcterms:created>
  <dcterms:modified xsi:type="dcterms:W3CDTF">2026-03-16T05:37:40Z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A71D54188DE64A3999AEB29A02E5320D_13</vt:lpwstr>
  </property>
  <property fmtid="{D5CDD505-2E9C-101B-9397-08002B2CF9AE}" pid="3" name="KSOProductBuildVer">
    <vt:lpwstr>1049-12.2.0.23197</vt:lpwstr>
  </property>
</Properties>
</file>