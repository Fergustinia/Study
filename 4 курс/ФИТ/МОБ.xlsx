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<sst xmlns="http://schemas.openxmlformats.org/spreadsheetml/2006/main" count="109" uniqueCount="49">
  <si>
    <t>5 вариант</t>
  </si>
  <si>
    <t>Элементы системы</t>
  </si>
  <si>
    <t>Транспорт</t>
  </si>
  <si>
    <t>Промышленность</t>
  </si>
  <si>
    <t>Сельское хозяйство</t>
  </si>
  <si>
    <t>Прочие отрасли</t>
  </si>
  <si>
    <t>Конечный продукт</t>
  </si>
  <si>
    <t>Валовой продукт</t>
  </si>
  <si>
    <t>Фонд оплаты труда</t>
  </si>
  <si>
    <t>Прибыль</t>
  </si>
  <si>
    <t>Амортизация</t>
  </si>
  <si>
    <t>Суммы промежуточного потребления</t>
  </si>
  <si>
    <r>
      <rPr>
        <sz val="11"/>
        <color theme="1"/>
        <rFont val="Aptos Narrow"/>
        <charset val="204"/>
        <scheme val="minor"/>
      </rPr>
      <t xml:space="preserve">КП = ВП - </t>
    </r>
    <r>
      <rPr>
        <sz val="11"/>
        <color theme="1"/>
        <rFont val="Aptos Narrow"/>
        <charset val="134"/>
      </rPr>
      <t>∑xij</t>
    </r>
  </si>
  <si>
    <t>Технологическая матрица прямых материальных затрат</t>
  </si>
  <si>
    <t xml:space="preserve">Расчитаем плановый конечный продукт </t>
  </si>
  <si>
    <t xml:space="preserve">Отрасль </t>
  </si>
  <si>
    <t xml:space="preserve">Процент изменения </t>
  </si>
  <si>
    <t>КП</t>
  </si>
  <si>
    <t>=</t>
  </si>
  <si>
    <t>Jβ = β текущего года / β базисный год</t>
  </si>
  <si>
    <t>β базисного года</t>
  </si>
  <si>
    <t>β текущего года</t>
  </si>
  <si>
    <t>Jβ</t>
  </si>
  <si>
    <t>&gt;1 - валовой продукт растет быстрее конечного (регресс, экономика пошла
на спад)</t>
  </si>
  <si>
    <t>&lt;1 - валовой продукт растет медленнее конечного (прогресс, экономика пошла
вверх)</t>
  </si>
  <si>
    <t>Коэффициент прямых затрат труда базисный год</t>
  </si>
  <si>
    <t>tj</t>
  </si>
  <si>
    <t>Увеличение фонда оплаты труда на 3.5% (Текущий год)</t>
  </si>
  <si>
    <t>Lj + 3.5%</t>
  </si>
  <si>
    <t>Коэффициент прямых затрат труда  планового года</t>
  </si>
  <si>
    <t xml:space="preserve">α - доля живого труда = </t>
  </si>
  <si>
    <t>промежуточный результат</t>
  </si>
  <si>
    <t>итоговый результат</t>
  </si>
  <si>
    <t>Tj = t*(E-A)^-1 -  коэффициент полных затрат труда на единицу j- продукции</t>
  </si>
  <si>
    <t>α - доля живого труда = (t*x)/(T*x)</t>
  </si>
  <si>
    <t>Jα = α базисный  год / α текущий год</t>
  </si>
  <si>
    <t>α базисный год</t>
  </si>
  <si>
    <t>α текущий год</t>
  </si>
  <si>
    <t>Jα</t>
  </si>
  <si>
    <t>&gt;1 – Доля текущей зарплаты в общей трудовой стоимости продукции стала больше</t>
  </si>
  <si>
    <t>&lt;1 – Доля текущей зарплаты в общей трудовой стоимости продукции стала меньше</t>
  </si>
  <si>
    <t>aij*pi</t>
  </si>
  <si>
    <t>Материалоёмкость - (сумма по I в матрице прямых материальных затрат)</t>
  </si>
  <si>
    <t>sj = Амортизация/ВП</t>
  </si>
  <si>
    <t>Vj = Фонд оплаты труда / ВП</t>
  </si>
  <si>
    <t>Все показатели за текущий год (плановый)</t>
  </si>
  <si>
    <t>pj</t>
  </si>
  <si>
    <t>Плановый чистый доход mj=Vj*Zj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</si>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</sst>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  <numFmt numFmtId="181" formatCode="0.0000"/>
  </numFmts>
  <fonts count="28">
    <font>
      <sz val="11"/>
      <color theme="1"/>
      <name val="Aptos Narrow"/>
      <charset val="204"/>
      <scheme val="minor"/>
    </font>
    <font>
      <b/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0"/>
      <name val="Aptos Narrow"/>
      <charset val="134"/>
      <scheme val="minor"/>
    </font>
    <font>
      <b/>
      <sz val="1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</font>
    <font>
      <sz val="11"/>
      <color theme="1"/>
      <name val="Aptos Narrow"/>
      <charset val="134"/>
      <scheme val="minor"/>
    </font>
    <font>
      <sz val="11"/>
      <color rgb="FF0F1115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0" borderId="0" xfId="0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535305</xdr:colOff>
      <xdr:row>31</xdr:row>
      <xdr:rowOff>119380</xdr:rowOff>
    </xdr:from>
    <xdr:ext cx="6588125" cy="646430"/>
    <xdr:sp>
      <xdr:nvSpPr>
        <xdr:cNvPr id="2" name="Текстовое поле 1"/>
        <xdr:cNvSpPr txBox="1"/>
      </xdr:nvSpPr>
      <xdr:spPr>
        <a:xfrm>
          <a:off x="535305" y="6142355"/>
          <a:ext cx="6588125" cy="6464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2. Рассчитать на базе материалоемкости отчетного года плановый валовой продукт отраслей, если</a:t>
          </a:r>
          <a:endParaRPr lang="ru-RU" altLang="en-US" sz="1100"/>
        </a:p>
        <a:p>
          <a:pPr algn="l"/>
          <a:r>
            <a:rPr lang="ru-RU" altLang="en-US" sz="1100"/>
            <a:t>конечный продукт промышленности возрастет на 4,2 % по сравнеию с отчетным годом,</a:t>
          </a:r>
          <a:endParaRPr lang="ru-RU" altLang="en-US" sz="1100"/>
        </a:p>
        <a:p>
          <a:pPr algn="l"/>
          <a:r>
            <a:rPr lang="ru-RU" altLang="en-US" sz="1100"/>
            <a:t>сельского хозяйства возрастет на 3,0 %, прочих отраслей и транспорта возрастет на 0,5 %.</a:t>
          </a:r>
          <a:endParaRPr lang="ru-RU" altLang="en-US" sz="1100"/>
        </a:p>
      </xdr:txBody>
    </xdr:sp>
    <xdr:clientData/>
  </xdr:oneCellAnchor>
  <xdr:oneCellAnchor>
    <xdr:from>
      <xdr:col>1</xdr:col>
      <xdr:colOff>140335</xdr:colOff>
      <xdr:row>82</xdr:row>
      <xdr:rowOff>97790</xdr:rowOff>
    </xdr:from>
    <xdr:ext cx="6660515" cy="640080"/>
    <xdr:sp>
      <xdr:nvSpPr>
        <xdr:cNvPr id="4" name="Текстовое поле 3"/>
        <xdr:cNvSpPr txBox="1"/>
      </xdr:nvSpPr>
      <xdr:spPr>
        <a:xfrm>
          <a:off x="826135" y="17353915"/>
          <a:ext cx="6660515" cy="640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4. Проанализировать динамику соотношений живого и овеществленного труда в валовом продукте</a:t>
          </a:r>
          <a:endParaRPr lang="ru-RU" altLang="en-US" sz="1100"/>
        </a:p>
        <a:p>
          <a:pPr algn="l"/>
          <a:r>
            <a:rPr lang="ru-RU" altLang="en-US" sz="1100"/>
            <a:t>каждой отрасли, если фонд оплаты труда в плановом году по всем отраслям возрастет на 3,5% .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0</xdr:col>
      <xdr:colOff>149860</xdr:colOff>
      <xdr:row>12</xdr:row>
      <xdr:rowOff>159385</xdr:rowOff>
    </xdr:from>
    <xdr:ext cx="4322445" cy="273685"/>
    <xdr:sp>
      <xdr:nvSpPr>
        <xdr:cNvPr id="5" name="Текстовое поле 4"/>
        <xdr:cNvSpPr txBox="1"/>
      </xdr:nvSpPr>
      <xdr:spPr>
        <a:xfrm>
          <a:off x="149860" y="2667635"/>
          <a:ext cx="432244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Вычислить суммы конечного продукта и прибыли по отраслям. </a:t>
          </a:r>
          <a:endParaRPr lang="ru-RU" altLang="en-US" sz="1100"/>
        </a:p>
      </xdr:txBody>
    </xdr:sp>
    <xdr:clientData/>
  </xdr:oneCellAnchor>
  <xdr:oneCellAnchor>
    <xdr:from>
      <xdr:col>2</xdr:col>
      <xdr:colOff>951230</xdr:colOff>
      <xdr:row>19</xdr:row>
      <xdr:rowOff>109855</xdr:rowOff>
    </xdr:from>
    <xdr:ext cx="309880" cy="273685"/>
    <xdr:sp>
      <xdr:nvSpPr>
        <xdr:cNvPr id="7" name="Текстовое поле 6"/>
        <xdr:cNvSpPr txBox="1"/>
      </xdr:nvSpPr>
      <xdr:spPr>
        <a:xfrm>
          <a:off x="4173855" y="394208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ru-RU" altLang="en-US" sz="1100"/>
        </a:p>
      </xdr:txBody>
    </xdr:sp>
    <xdr:clientData/>
  </xdr:oneCellAnchor>
  <xdr:oneCellAnchor>
    <xdr:from>
      <xdr:col>2</xdr:col>
      <xdr:colOff>909320</xdr:colOff>
      <xdr:row>19</xdr:row>
      <xdr:rowOff>144780</xdr:rowOff>
    </xdr:from>
    <xdr:ext cx="2451100" cy="456565"/>
    <xdr:sp>
      <xdr:nvSpPr>
        <xdr:cNvPr id="8" name="Текстовое поле 7"/>
        <xdr:cNvSpPr txBox="1"/>
      </xdr:nvSpPr>
      <xdr:spPr>
        <a:xfrm>
          <a:off x="4131945" y="3977005"/>
          <a:ext cx="2451100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Проверить наличие решения МОБ.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5</xdr:col>
      <xdr:colOff>115570</xdr:colOff>
      <xdr:row>28</xdr:row>
      <xdr:rowOff>137795</xdr:rowOff>
    </xdr:from>
    <xdr:ext cx="1809750" cy="271145"/>
    <xdr:sp>
      <xdr:nvSpPr>
        <xdr:cNvPr id="9" name="Текстовое поле 8"/>
        <xdr:cNvSpPr txBox="1"/>
      </xdr:nvSpPr>
      <xdr:spPr>
        <a:xfrm>
          <a:off x="8383905" y="5617845"/>
          <a:ext cx="1809750" cy="2711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&lt;1 - МОБ имеет решение</a:t>
          </a:r>
          <a:endParaRPr lang="ru-RU" altLang="en-US" sz="1100"/>
        </a:p>
      </xdr:txBody>
    </xdr:sp>
    <xdr:clientData/>
  </xdr:oneCellAnchor>
  <xdr:oneCellAnchor>
    <xdr:from>
      <xdr:col>0</xdr:col>
      <xdr:colOff>669925</xdr:colOff>
      <xdr:row>57</xdr:row>
      <xdr:rowOff>34290</xdr:rowOff>
    </xdr:from>
    <xdr:ext cx="8548370" cy="273685"/>
    <xdr:sp>
      <xdr:nvSpPr>
        <xdr:cNvPr id="10" name="Текстовое поле 9"/>
        <xdr:cNvSpPr txBox="1"/>
      </xdr:nvSpPr>
      <xdr:spPr>
        <a:xfrm>
          <a:off x="669925" y="10927715"/>
          <a:ext cx="854837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  Рассчитать по отраслям индексы соотношений конечного и валового продуктов, объяснить динамику полученных показателей.</a:t>
          </a:r>
          <a:endParaRPr lang="ru-RU" altLang="en-US" sz="1100"/>
        </a:p>
      </xdr:txBody>
    </xdr:sp>
    <xdr:clientData/>
  </xdr:oneCellAnchor>
  <xdr:oneCellAnchor>
    <xdr:from>
      <xdr:col>1</xdr:col>
      <xdr:colOff>1573530</xdr:colOff>
      <xdr:row>85</xdr:row>
      <xdr:rowOff>138430</xdr:rowOff>
    </xdr:from>
    <xdr:ext cx="4710430" cy="270510"/>
    <xdr:sp>
      <xdr:nvSpPr>
        <xdr:cNvPr id="11" name="Текстовое поле 10"/>
        <xdr:cNvSpPr txBox="1"/>
      </xdr:nvSpPr>
      <xdr:spPr>
        <a:xfrm>
          <a:off x="2259330" y="18032730"/>
          <a:ext cx="4710430" cy="2705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- коэффициента прямых затрат труда на единицу продукции j отрасли</a:t>
          </a:r>
          <a:endParaRPr lang="ru-RU" altLang="en-US" sz="1100"/>
        </a:p>
      </xdr:txBody>
    </xdr:sp>
    <xdr:clientData/>
  </xdr:oneCellAnchor>
  <xdr:oneCellAnchor>
    <xdr:from>
      <xdr:col>1</xdr:col>
      <xdr:colOff>309880</xdr:colOff>
      <xdr:row>120</xdr:row>
      <xdr:rowOff>144145</xdr:rowOff>
    </xdr:from>
    <xdr:ext cx="11055350" cy="273685"/>
    <xdr:sp>
      <xdr:nvSpPr>
        <xdr:cNvPr id="12" name="Текстовое поле 11"/>
        <xdr:cNvSpPr txBox="1"/>
      </xdr:nvSpPr>
      <xdr:spPr>
        <a:xfrm>
          <a:off x="995680" y="25474295"/>
          <a:ext cx="1105535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Найти сбалансированные индексы цен на продукцию отраслей, объяснить их значения, если плановая норма чистого дохода составит: z1 и z4 = 0,4 , z2 = 0,3, а z3  = 0,2</a:t>
          </a:r>
          <a:endParaRPr lang="ru-RU" altLang="en-US" sz="1100"/>
        </a:p>
      </xdr:txBody>
    </xdr:sp>
    <xdr:clientData/>
  </xdr:oneCellAnchor>
  <xdr:oneCellAnchor>
    <xdr:from>
      <xdr:col>1</xdr:col>
      <xdr:colOff>206375</xdr:colOff>
      <xdr:row>132</xdr:row>
      <xdr:rowOff>86360</xdr:rowOff>
    </xdr:from>
    <xdr:ext cx="9947275" cy="272415"/>
    <xdr:sp>
      <xdr:nvSpPr>
        <xdr:cNvPr id="13" name="Текстовое поле 12"/>
        <xdr:cNvSpPr txBox="1"/>
      </xdr:nvSpPr>
      <xdr:spPr>
        <a:xfrm>
          <a:off x="892175" y="27607260"/>
          <a:ext cx="9947275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Промышленности ,</a:t>
          </a:r>
          <a:r>
            <a:rPr lang="ru-RU" altLang="en-US">
              <a:sym typeface="+mn-ea"/>
            </a:rPr>
            <a:t> </a:t>
          </a:r>
          <a:r>
            <a:rPr lang="ru-RU" altLang="en-US" sz="1100"/>
            <a:t>сельское хозяйство - цена должна вырасти, чтобы покрыть всё и обеспечить заданную рентабельность. Транспорт должен упасть  </a:t>
          </a:r>
          <a:endParaRPr lang="ru-RU" altLang="en-US" sz="1100"/>
        </a:p>
      </xdr:txBody>
    </xdr:sp>
    <xdr:clientData/>
  </xdr:oneCellAnchor>
  <xdr:oneCellAnchor>
    <xdr:from>
      <xdr:col>1</xdr:col>
      <xdr:colOff>1257300</xdr:colOff>
      <xdr:row>147</xdr:row>
      <xdr:rowOff>88900</xdr:rowOff>
    </xdr:from>
    <xdr:ext cx="6821805" cy="274955"/>
    <xdr:sp>
      <xdr:nvSpPr>
        <xdr:cNvPr id="14" name="Текстовое поле 13"/>
        <xdr:cNvSpPr txBox="1"/>
      </xdr:nvSpPr>
      <xdr:spPr>
        <a:xfrm>
          <a:off x="1943100" y="30505400"/>
          <a:ext cx="6821805" cy="2749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Завершить работу по МОБ, представив его как заполненную плановую таблицу по I, II и III квадрантам</a:t>
          </a:r>
          <a:endParaRPr lang="ru-RU" altLang="en-US" sz="1100"/>
        </a:p>
      </xdr:txBody>
    </xdr:sp>
    <xdr:clientData/>
  </xdr:oneCellAnchor>
  <xdr:oneCellAnchor>
    <xdr:from>
      <xdr:col>4</xdr:col>
      <xdr:colOff>2098040</xdr:colOff>
      <xdr:row>21</xdr:row>
      <xdr:rowOff>140335</xdr:rowOff>
    </xdr:from>
    <xdr:ext cx="3881755" cy="457200"/>
    <xdr:sp>
      <xdr:nvSpPr>
        <xdr:cNvPr id="17" name="Текстовое поле 16"/>
        <xdr:cNvSpPr txBox="1"/>
      </xdr:nvSpPr>
      <xdr:spPr>
        <a:xfrm>
          <a:off x="7846060" y="4353560"/>
          <a:ext cx="3881755" cy="457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коэффициент показывает, сколько продукции отрасли 𝑖</a:t>
          </a:r>
          <a:endParaRPr lang="ru-RU" altLang="en-US" sz="1100"/>
        </a:p>
        <a:p>
          <a:pPr algn="l"/>
          <a:r>
            <a:rPr lang="ru-RU" altLang="en-US" sz="1100"/>
            <a:t> нужно для выпуска единицы продукции отрасли </a:t>
          </a:r>
          <a:endParaRPr lang="ru-RU" altLang="en-US" sz="1100"/>
        </a:p>
      </xdr:txBody>
    </xdr:sp>
    <xdr:clientData/>
  </xdr:oneCellAnchor>
  <xdr:oneCellAnchor>
    <xdr:from>
      <xdr:col>3</xdr:col>
      <xdr:colOff>3810</xdr:colOff>
      <xdr:row>73</xdr:row>
      <xdr:rowOff>168910</xdr:rowOff>
    </xdr:from>
    <xdr:ext cx="6265545" cy="273685"/>
    <xdr:sp>
      <xdr:nvSpPr>
        <xdr:cNvPr id="21" name="Текстовое поле 20"/>
        <xdr:cNvSpPr txBox="1"/>
      </xdr:nvSpPr>
      <xdr:spPr>
        <a:xfrm>
          <a:off x="4559935" y="13967460"/>
          <a:ext cx="626554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показывает, сколько валового продукта нужно, чтобы получить единицу конечного продукта.</a:t>
          </a:r>
          <a:endParaRPr lang="ru-RU" altLang="en-US" sz="1100"/>
        </a:p>
      </xdr:txBody>
    </xdr:sp>
    <xdr:clientData/>
  </xdr:oneCellAnchor>
  <xdr:oneCellAnchor>
    <xdr:from>
      <xdr:col>5</xdr:col>
      <xdr:colOff>359410</xdr:colOff>
      <xdr:row>78</xdr:row>
      <xdr:rowOff>252095</xdr:rowOff>
    </xdr:from>
    <xdr:ext cx="3181350" cy="638175"/>
    <xdr:sp>
      <xdr:nvSpPr>
        <xdr:cNvPr id="22" name="Текстовое поле 21"/>
        <xdr:cNvSpPr txBox="1"/>
      </xdr:nvSpPr>
      <xdr:spPr>
        <a:xfrm>
          <a:off x="8627745" y="14974570"/>
          <a:ext cx="3181350" cy="638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Если </a:t>
          </a:r>
          <a:r>
            <a:rPr lang="en-US" altLang="ru-RU" sz="1100"/>
            <a:t>j</a:t>
          </a:r>
          <a:r>
            <a:rPr lang="ru-RU" altLang="en-US" sz="1100"/>
            <a:t>𝛽&gt;1</a:t>
          </a:r>
          <a:r>
            <a:rPr lang="en-US" altLang="ru-RU" sz="1100"/>
            <a:t>, </a:t>
          </a:r>
          <a:r>
            <a:rPr lang="ru-RU" altLang="en-US" sz="1100"/>
            <a:t>это означает:</a:t>
          </a:r>
          <a:endParaRPr lang="ru-RU" altLang="en-US" sz="1100"/>
        </a:p>
        <a:p>
          <a:pPr algn="l"/>
          <a:r>
            <a:rPr lang="ru-RU" altLang="en-US" sz="1100"/>
            <a:t>на единицу конечного продукта теперь нужно</a:t>
          </a:r>
          <a:endParaRPr lang="ru-RU" altLang="en-US" sz="1100"/>
        </a:p>
        <a:p>
          <a:pPr algn="l"/>
          <a:r>
            <a:rPr lang="ru-RU" altLang="en-US" sz="1100"/>
            <a:t> больше валового выпуска.</a:t>
          </a:r>
          <a:endParaRPr lang="ru-RU" altLang="en-US" sz="1100"/>
        </a:p>
      </xdr:txBody>
    </xdr:sp>
    <xdr:clientData/>
  </xdr:oneCellAnchor>
  <xdr:twoCellAnchor editAs="oneCell">
    <xdr:from>
      <xdr:col>4</xdr:col>
      <xdr:colOff>324485</xdr:colOff>
      <xdr:row>125</xdr:row>
      <xdr:rowOff>56515</xdr:rowOff>
    </xdr:from>
    <xdr:to>
      <xdr:col>5</xdr:col>
      <xdr:colOff>299720</xdr:colOff>
      <xdr:row>127</xdr:row>
      <xdr:rowOff>142240</xdr:rowOff>
    </xdr:to>
    <xdr:pic>
      <xdr:nvPicPr>
        <xdr:cNvPr id="31" name="Изображение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2505" y="26291540"/>
          <a:ext cx="2495550" cy="447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195"/>
  <sheetViews>
    <sheetView tabSelected="1" zoomScale="115" zoomScaleNormal="115" topLeftCell="A120" workbookViewId="0">
      <selection activeCell="D138" sqref="D138"/>
    </sheetView>
  </sheetViews>
  <sheetFormatPr defaultColWidth="9" defaultRowHeight="14.25"/>
  <cols>
    <col min="1" max="1" width="9" style="1"/>
    <col min="2" max="2" width="33.2916666666667" style="1" customWidth="1"/>
    <col min="3" max="3" width="17.5" style="1" customWidth="1"/>
    <col min="4" max="4" width="15.6416666666667" style="1" customWidth="1"/>
    <col min="5" max="5" width="33.075" style="1" customWidth="1"/>
    <col min="6" max="6" width="14.6" style="1" customWidth="1"/>
    <col min="7" max="7" width="16.3" style="1" customWidth="1"/>
    <col min="8" max="8" width="16.2" style="1" customWidth="1"/>
    <col min="9" max="9" width="11.1833333333333" style="1" customWidth="1"/>
    <col min="10" max="10" width="10.9" style="1" customWidth="1"/>
    <col min="11" max="22" width="12.625" style="1"/>
    <col min="23" max="23" width="10.375" style="1"/>
    <col min="24" max="24" width="12.625" style="1"/>
    <col min="25" max="26" width="9" style="1"/>
    <col min="27" max="28" width="12.625" style="1"/>
    <col min="29" max="16384" width="9" style="1"/>
  </cols>
  <sheetData>
    <row r="2" ht="15" spans="2:3">
      <c r="B2" s="2"/>
      <c r="C2" s="3" t="s">
        <v>0</v>
      </c>
    </row>
    <row r="4" ht="40" customHeight="1" spans="2:8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spans="2:8">
      <c r="B5" s="4" t="s">
        <v>2</v>
      </c>
      <c r="C5" s="6">
        <v>888.43</v>
      </c>
      <c r="D5" s="6">
        <v>1098.54</v>
      </c>
      <c r="E5" s="6">
        <v>670.3</v>
      </c>
      <c r="F5" s="6">
        <v>474.142</v>
      </c>
      <c r="G5" s="7">
        <f>H5-F5-E5-C5-D5</f>
        <v>2754.708</v>
      </c>
      <c r="H5" s="6">
        <v>5886.12</v>
      </c>
    </row>
    <row r="6" spans="2:8">
      <c r="B6" s="4" t="s">
        <v>3</v>
      </c>
      <c r="C6" s="6">
        <v>1064.006</v>
      </c>
      <c r="D6" s="6">
        <v>1251.038</v>
      </c>
      <c r="E6" s="6">
        <v>664.096</v>
      </c>
      <c r="F6" s="6">
        <v>1614.72</v>
      </c>
      <c r="G6" s="7">
        <f>H6-F6-E6-C6-D6</f>
        <v>2719.54</v>
      </c>
      <c r="H6" s="6">
        <v>7313.4</v>
      </c>
    </row>
    <row r="7" spans="2:8">
      <c r="B7" s="4" t="s">
        <v>4</v>
      </c>
      <c r="C7" s="6">
        <v>446.834</v>
      </c>
      <c r="D7" s="6">
        <v>188.235</v>
      </c>
      <c r="E7" s="6">
        <v>1046.584</v>
      </c>
      <c r="F7" s="6">
        <v>1000.61</v>
      </c>
      <c r="G7" s="7">
        <f>H7-F7-E7-C7-D7</f>
        <v>2300.537</v>
      </c>
      <c r="H7" s="6">
        <v>4982.8</v>
      </c>
    </row>
    <row r="8" spans="2:8">
      <c r="B8" s="4" t="s">
        <v>5</v>
      </c>
      <c r="C8" s="6">
        <v>717.32</v>
      </c>
      <c r="D8" s="6">
        <v>989.254</v>
      </c>
      <c r="E8" s="6">
        <v>757.73</v>
      </c>
      <c r="F8" s="6">
        <v>393.541</v>
      </c>
      <c r="G8" s="7">
        <f>H8-F8-E8-C8-D8</f>
        <v>2148.355</v>
      </c>
      <c r="H8" s="6">
        <v>5006.2</v>
      </c>
    </row>
    <row r="9" spans="2:8">
      <c r="B9" s="4" t="s">
        <v>8</v>
      </c>
      <c r="C9" s="6">
        <v>1001.423</v>
      </c>
      <c r="D9" s="6">
        <v>1470.213</v>
      </c>
      <c r="E9" s="6">
        <v>1050.223</v>
      </c>
      <c r="F9" s="6">
        <v>964.213</v>
      </c>
      <c r="G9" s="8"/>
      <c r="H9" s="9"/>
    </row>
    <row r="10" spans="2:8">
      <c r="B10" s="4" t="s">
        <v>9</v>
      </c>
      <c r="C10" s="6">
        <v>472.8</v>
      </c>
      <c r="D10" s="6">
        <v>980.35</v>
      </c>
      <c r="E10" s="6">
        <v>232.68</v>
      </c>
      <c r="F10" s="6">
        <v>381.55</v>
      </c>
      <c r="G10" s="8"/>
      <c r="H10" s="9"/>
    </row>
    <row r="11" spans="2:8">
      <c r="B11" s="4" t="s">
        <v>10</v>
      </c>
      <c r="C11" s="7">
        <f>C12-C13-C9-C10</f>
        <v>2183.737</v>
      </c>
      <c r="D11" s="7">
        <f>D12-D13-D9-D10</f>
        <v>2434.31</v>
      </c>
      <c r="E11" s="7">
        <f>E12-E13-E9-E10</f>
        <v>1231.487</v>
      </c>
      <c r="F11" s="7">
        <f>F12-F13-F9-F10</f>
        <v>651.566</v>
      </c>
      <c r="G11" s="8"/>
      <c r="H11" s="9"/>
    </row>
    <row r="12" spans="2:8">
      <c r="B12" s="4" t="s">
        <v>7</v>
      </c>
      <c r="C12" s="10">
        <f>H5</f>
        <v>5886.12</v>
      </c>
      <c r="D12" s="10">
        <f>H6</f>
        <v>7313.4</v>
      </c>
      <c r="E12" s="10">
        <f>H7</f>
        <v>4982.8</v>
      </c>
      <c r="F12" s="10">
        <f>H8</f>
        <v>5006.2</v>
      </c>
      <c r="G12" s="11"/>
      <c r="H12" s="10"/>
    </row>
    <row r="13" spans="2:8">
      <c r="B13" s="6" t="s">
        <v>11</v>
      </c>
      <c r="C13" s="12">
        <f>SUM(C6:C8)</f>
        <v>2228.16</v>
      </c>
      <c r="D13" s="12">
        <f>SUM(D6:D8)</f>
        <v>2428.527</v>
      </c>
      <c r="E13" s="12">
        <f>SUM(E6:E8)</f>
        <v>2468.41</v>
      </c>
      <c r="F13" s="12">
        <f>SUM(F6:F8)</f>
        <v>3008.871</v>
      </c>
      <c r="G13" s="6"/>
      <c r="H13" s="6"/>
    </row>
    <row r="14" ht="15" spans="1:4">
      <c r="A14" s="13"/>
      <c r="B14" s="14"/>
      <c r="C14" s="14"/>
      <c r="D14" s="15"/>
    </row>
    <row r="15" ht="15" spans="1:2">
      <c r="A15" s="2"/>
      <c r="B15" s="1" t="s">
        <v>12</v>
      </c>
    </row>
    <row r="16" ht="15" spans="1:1">
      <c r="A16" s="2"/>
    </row>
    <row r="17" ht="15" spans="1:1">
      <c r="A17" s="2"/>
    </row>
    <row r="18" ht="15" spans="1:1">
      <c r="A18" s="13"/>
    </row>
    <row r="19" ht="15" spans="1:4">
      <c r="A19" s="13"/>
      <c r="B19" s="14"/>
      <c r="C19" s="14"/>
      <c r="D19" s="15"/>
    </row>
    <row r="20" ht="15" spans="1:4">
      <c r="A20" s="2"/>
      <c r="D20" s="15"/>
    </row>
    <row r="21" ht="15" spans="1:3">
      <c r="A21" s="13"/>
      <c r="B21" s="14"/>
      <c r="C21" s="14"/>
    </row>
    <row r="25" spans="2:2">
      <c r="B25" s="15" t="s">
        <v>13</v>
      </c>
    </row>
    <row r="26" spans="2:5">
      <c r="B26" s="16">
        <f>C5/$C$12</f>
        <v>0.15093644030363</v>
      </c>
      <c r="C26" s="16">
        <f>D5/$D$12</f>
        <v>0.15020920502092</v>
      </c>
      <c r="D26" s="16">
        <f>E5/$E$12</f>
        <v>0.134522758288512</v>
      </c>
      <c r="E26" s="16">
        <f>F5/$F$12</f>
        <v>0.0947109584115697</v>
      </c>
    </row>
    <row r="27" spans="2:5">
      <c r="B27" s="16">
        <f>C6/$C$12</f>
        <v>0.180765257928822</v>
      </c>
      <c r="C27" s="16">
        <f>D6/$D$12</f>
        <v>0.17106106598846</v>
      </c>
      <c r="D27" s="16">
        <f>E6/$E$12</f>
        <v>0.133277675202697</v>
      </c>
      <c r="E27" s="16">
        <f>F6/$F$12</f>
        <v>0.322544045383724</v>
      </c>
    </row>
    <row r="28" spans="2:5">
      <c r="B28" s="16">
        <f>C7/$C$12</f>
        <v>0.0759131652090002</v>
      </c>
      <c r="C28" s="16">
        <f>D7/$D$12</f>
        <v>0.0257383706620724</v>
      </c>
      <c r="D28" s="16">
        <f>E7/$E$12</f>
        <v>0.210039335313478</v>
      </c>
      <c r="E28" s="16">
        <f>F7/$F$12</f>
        <v>0.199874156046502</v>
      </c>
    </row>
    <row r="29" spans="2:5">
      <c r="B29" s="16">
        <f>C8/$C$12</f>
        <v>0.121866356785115</v>
      </c>
      <c r="C29" s="16">
        <f>D8/$D$12</f>
        <v>0.135265950173654</v>
      </c>
      <c r="D29" s="16">
        <f>E8/$E$12</f>
        <v>0.152069117765112</v>
      </c>
      <c r="E29" s="16">
        <f>F8/$F$12</f>
        <v>0.0786107227038472</v>
      </c>
    </row>
    <row r="30" spans="2:5">
      <c r="B30" s="17">
        <f>SUM(B26:B29)</f>
        <v>0.529481220226567</v>
      </c>
      <c r="C30" s="17">
        <f>SUM(C26:C29)</f>
        <v>0.482274591845106</v>
      </c>
      <c r="D30" s="17">
        <f>SUM(D26:D29)</f>
        <v>0.6299088865698</v>
      </c>
      <c r="E30" s="17">
        <f>SUM(E26:E29)</f>
        <v>0.695739882545644</v>
      </c>
    </row>
    <row r="31" spans="7:10">
      <c r="G31" s="18"/>
      <c r="H31" s="18"/>
      <c r="I31" s="18"/>
      <c r="J31" s="18"/>
    </row>
    <row r="33" spans="3:3">
      <c r="C33" s="18"/>
    </row>
    <row r="35" ht="25" customHeight="1" spans="1:2">
      <c r="A35" s="2"/>
      <c r="B35" s="19"/>
    </row>
    <row r="36" ht="15" spans="1:2">
      <c r="A36" s="2"/>
      <c r="B36" s="2"/>
    </row>
    <row r="37" ht="15" spans="1:2">
      <c r="A37" s="2"/>
      <c r="B37" s="20" t="s">
        <v>14</v>
      </c>
    </row>
    <row r="39" spans="2:4">
      <c r="B39" s="21" t="s">
        <v>15</v>
      </c>
      <c r="C39" s="21" t="s">
        <v>16</v>
      </c>
      <c r="D39" s="21" t="s">
        <v>17</v>
      </c>
    </row>
    <row r="40" spans="2:4">
      <c r="B40" s="21" t="s">
        <v>2</v>
      </c>
      <c r="C40" s="22">
        <v>0.005</v>
      </c>
      <c r="D40" s="21">
        <f>G5*(1+0.005)</f>
        <v>2768.48154</v>
      </c>
    </row>
    <row r="41" spans="2:4">
      <c r="B41" s="21" t="s">
        <v>3</v>
      </c>
      <c r="C41" s="22">
        <v>0.042</v>
      </c>
      <c r="D41" s="21">
        <f>G6*(1+0.042)</f>
        <v>2833.76068</v>
      </c>
    </row>
    <row r="42" spans="2:4">
      <c r="B42" s="21" t="s">
        <v>4</v>
      </c>
      <c r="C42" s="22">
        <v>0.03</v>
      </c>
      <c r="D42" s="21">
        <f>G7*(1+0.03)</f>
        <v>2369.55311</v>
      </c>
    </row>
    <row r="43" spans="2:4">
      <c r="B43" s="21" t="s">
        <v>5</v>
      </c>
      <c r="C43" s="22">
        <v>0.005</v>
      </c>
      <c r="D43" s="21">
        <f>G8*(1+0.005)</f>
        <v>2159.096775</v>
      </c>
    </row>
    <row r="48" spans="2:10">
      <c r="B48" s="21">
        <v>1</v>
      </c>
      <c r="C48" s="21">
        <v>0</v>
      </c>
      <c r="D48" s="21">
        <v>0</v>
      </c>
      <c r="E48" s="23">
        <v>0</v>
      </c>
      <c r="G48" s="16">
        <f>1-B26</f>
        <v>0.84906355969637</v>
      </c>
      <c r="H48" s="16">
        <f>-C26</f>
        <v>-0.15020920502092</v>
      </c>
      <c r="I48" s="16">
        <f>-D26</f>
        <v>-0.134522758288512</v>
      </c>
      <c r="J48" s="16">
        <f>-E26</f>
        <v>-0.0947109584115697</v>
      </c>
    </row>
    <row r="49" spans="2:10">
      <c r="B49" s="21">
        <v>0</v>
      </c>
      <c r="C49" s="21">
        <v>1</v>
      </c>
      <c r="D49" s="21">
        <v>0</v>
      </c>
      <c r="E49" s="23">
        <v>0</v>
      </c>
      <c r="G49" s="16">
        <f>-B27</f>
        <v>-0.180765257928822</v>
      </c>
      <c r="H49" s="16">
        <f>1-C27</f>
        <v>0.828938934011541</v>
      </c>
      <c r="I49" s="16">
        <f>-D27</f>
        <v>-0.133277675202697</v>
      </c>
      <c r="J49" s="16">
        <f>-E27</f>
        <v>-0.322544045383724</v>
      </c>
    </row>
    <row r="50" ht="15" spans="2:17">
      <c r="B50" s="21">
        <v>0</v>
      </c>
      <c r="C50" s="21">
        <v>0</v>
      </c>
      <c r="D50" s="21">
        <v>1</v>
      </c>
      <c r="E50" s="23">
        <v>0</v>
      </c>
      <c r="F50" s="44" t="s">
        <v>18</v>
      </c>
      <c r="G50" s="16">
        <f>-B28</f>
        <v>-0.0759131652090002</v>
      </c>
      <c r="H50" s="16">
        <f>-C28</f>
        <v>-0.0257383706620724</v>
      </c>
      <c r="I50" s="16">
        <f>1-D28</f>
        <v>0.789960664686522</v>
      </c>
      <c r="J50" s="16">
        <f>-E28</f>
        <v>-0.199874156046502</v>
      </c>
      <c r="Q50" s="18"/>
    </row>
    <row r="51" spans="2:10">
      <c r="B51" s="21">
        <v>0</v>
      </c>
      <c r="C51" s="21">
        <v>0</v>
      </c>
      <c r="D51" s="21">
        <v>0</v>
      </c>
      <c r="E51" s="23">
        <v>1</v>
      </c>
      <c r="G51" s="16">
        <f>-B29</f>
        <v>-0.121866356785115</v>
      </c>
      <c r="H51" s="16">
        <f>-C29</f>
        <v>-0.135265950173654</v>
      </c>
      <c r="I51" s="16">
        <f>-D29</f>
        <v>-0.152069117765112</v>
      </c>
      <c r="J51" s="16">
        <f>1-E29</f>
        <v>0.921389277296153</v>
      </c>
    </row>
    <row r="53" spans="2:5">
      <c r="B53" s="16" cm="1">
        <f t="array" ref="B53:E56">MINVERSE(G48:J51)</f>
        <v>1.31654156788878</v>
      </c>
      <c r="C53" s="16">
        <v>0.300054501413519</v>
      </c>
      <c r="D53" s="16">
        <v>0.33508178430917</v>
      </c>
      <c r="E53" s="16">
        <v>0.313055407044388</v>
      </c>
    </row>
    <row r="54" spans="2:5">
      <c r="B54" s="16">
        <v>0.426228534997241</v>
      </c>
      <c r="C54" s="16">
        <v>1.39919870453274</v>
      </c>
      <c r="D54" s="16">
        <v>0.429297482953404</v>
      </c>
      <c r="E54" s="16">
        <v>0.626746164553194</v>
      </c>
    </row>
    <row r="55" spans="2:5">
      <c r="B55" s="16">
        <v>0.209022359030866</v>
      </c>
      <c r="C55" s="16">
        <v>0.142382794327218</v>
      </c>
      <c r="D55" s="16">
        <v>1.39759529830791</v>
      </c>
      <c r="E55" s="16">
        <v>0.374504695979377</v>
      </c>
    </row>
    <row r="56" spans="2:5">
      <c r="B56" s="16">
        <v>0.271201525892062</v>
      </c>
      <c r="C56" s="16">
        <v>0.268597131734725</v>
      </c>
      <c r="D56" s="16">
        <v>0.338006551517438</v>
      </c>
      <c r="E56" s="16">
        <v>1.28054337638184</v>
      </c>
    </row>
    <row r="58" spans="4:7">
      <c r="D58" s="25"/>
      <c r="E58" s="25"/>
      <c r="F58" s="26"/>
      <c r="G58" s="25"/>
    </row>
    <row r="59" spans="4:7">
      <c r="D59" s="25"/>
      <c r="E59" s="1"/>
      <c r="F59" s="26"/>
      <c r="G59" s="25"/>
    </row>
    <row r="60" ht="15" spans="4:7">
      <c r="D60" s="25"/>
      <c r="E60" s="25"/>
      <c r="F60" s="27"/>
      <c r="G60" s="25"/>
    </row>
    <row r="61" spans="4:7">
      <c r="D61" s="25"/>
      <c r="E61" s="25"/>
      <c r="F61" s="26"/>
      <c r="G61" s="25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6" ht="15" spans="1:2">
      <c r="A76" s="2"/>
      <c r="B76" s="1" t="s">
        <v>19</v>
      </c>
    </row>
    <row r="77" ht="15" spans="1:2">
      <c r="A77" s="2"/>
      <c r="B77" s="2"/>
    </row>
    <row r="78" spans="2:4">
      <c r="B78" s="21" t="s">
        <v>20</v>
      </c>
      <c r="C78" s="21" t="s">
        <v>21</v>
      </c>
      <c r="D78" s="21" t="s">
        <v>22</v>
      </c>
    </row>
    <row r="79" ht="42.75" spans="2:5">
      <c r="B79" s="16">
        <f>H5/G5</f>
        <v>2.13674915816849</v>
      </c>
      <c r="C79" s="16">
        <f>H140/D40</f>
        <v>2.20248386239781</v>
      </c>
      <c r="D79" s="16">
        <f>C79/B79</f>
        <v>1.03076388446347</v>
      </c>
      <c r="E79" s="28" t="s">
        <v>23</v>
      </c>
    </row>
    <row r="80" ht="57" spans="2:5">
      <c r="B80" s="16">
        <f>H6/G6</f>
        <v>2.68920479198688</v>
      </c>
      <c r="C80" s="16">
        <f>H141/D41</f>
        <v>2.6537019758726</v>
      </c>
      <c r="D80" s="16">
        <f t="shared" ref="D80:D82" si="0">C80/B80</f>
        <v>0.986798024375061</v>
      </c>
      <c r="E80" s="28" t="s">
        <v>24</v>
      </c>
    </row>
    <row r="81" ht="57" spans="2:5">
      <c r="B81" s="16">
        <f>H7/G7</f>
        <v>2.1659290852527</v>
      </c>
      <c r="C81" s="16">
        <f>H142/D42</f>
        <v>2.1701203772396</v>
      </c>
      <c r="D81" s="16">
        <f t="shared" si="0"/>
        <v>1.00193510120688</v>
      </c>
      <c r="E81" s="28" t="s">
        <v>24</v>
      </c>
    </row>
    <row r="82" ht="42.75" spans="2:5">
      <c r="B82" s="16">
        <f>H8/G8</f>
        <v>2.33024802697878</v>
      </c>
      <c r="C82" s="16">
        <f>H143/D43</f>
        <v>2.40103309929086</v>
      </c>
      <c r="D82" s="16">
        <f>C82/B82</f>
        <v>1.03037662578943</v>
      </c>
      <c r="E82" s="28" t="s">
        <v>23</v>
      </c>
    </row>
    <row r="84" ht="18" customHeight="1"/>
    <row r="85" ht="18" customHeight="1"/>
    <row r="86" ht="18" customHeight="1"/>
    <row r="87" ht="24" customHeight="1"/>
    <row r="90" spans="2:2">
      <c r="B90" s="1" t="s">
        <v>25</v>
      </c>
    </row>
    <row r="91" spans="2:9">
      <c r="B91" s="21" t="s">
        <v>15</v>
      </c>
      <c r="C91" s="21" t="s">
        <v>2</v>
      </c>
      <c r="D91" s="21" t="s">
        <v>3</v>
      </c>
      <c r="E91" s="21" t="s">
        <v>4</v>
      </c>
      <c r="F91" s="21" t="s">
        <v>5</v>
      </c>
      <c r="H91" s="17">
        <f>C92</f>
        <v>0.17013295685443</v>
      </c>
      <c r="I91" s="17">
        <f>C101</f>
        <v>0.169982238631332</v>
      </c>
    </row>
    <row r="92" spans="2:9">
      <c r="B92" s="21" t="s">
        <v>26</v>
      </c>
      <c r="C92" s="16">
        <f>C9/C12</f>
        <v>0.17013295685443</v>
      </c>
      <c r="D92" s="16">
        <f>D9/D12</f>
        <v>0.201030027073591</v>
      </c>
      <c r="E92" s="16">
        <f>E9/E12</f>
        <v>0.210769647587702</v>
      </c>
      <c r="F92" s="16">
        <f>F9/F12</f>
        <v>0.192603771323559</v>
      </c>
      <c r="H92" s="17">
        <f>D92</f>
        <v>0.201030027073591</v>
      </c>
      <c r="I92" s="17">
        <f>D101</f>
        <v>0.202350970022253</v>
      </c>
    </row>
    <row r="93" spans="8:9">
      <c r="H93" s="17">
        <f>E92</f>
        <v>0.210769647587702</v>
      </c>
      <c r="I93" s="17">
        <f>E101</f>
        <v>0.211383752262649</v>
      </c>
    </row>
    <row r="94" spans="2:9">
      <c r="B94" s="1" t="s">
        <v>27</v>
      </c>
      <c r="H94" s="17">
        <f>F92</f>
        <v>0.192603771323559</v>
      </c>
      <c r="I94" s="17">
        <f>F101</f>
        <v>0.192505470977426</v>
      </c>
    </row>
    <row r="95" spans="2:6">
      <c r="B95" s="21" t="s">
        <v>15</v>
      </c>
      <c r="C95" s="21" t="s">
        <v>2</v>
      </c>
      <c r="D95" s="21" t="s">
        <v>3</v>
      </c>
      <c r="E95" s="21" t="s">
        <v>4</v>
      </c>
      <c r="F95" s="21" t="s">
        <v>5</v>
      </c>
    </row>
    <row r="96" spans="2:6">
      <c r="B96" s="21" t="s">
        <v>28</v>
      </c>
      <c r="C96" s="21">
        <f>C9*1.035</f>
        <v>1036.472805</v>
      </c>
      <c r="D96" s="21">
        <f>D9*1.035</f>
        <v>1521.670455</v>
      </c>
      <c r="E96" s="21">
        <f>E9*1.035</f>
        <v>1086.980805</v>
      </c>
      <c r="F96" s="21">
        <f>F9*1.035</f>
        <v>997.960455</v>
      </c>
    </row>
    <row r="98" spans="2:2">
      <c r="B98" s="1" t="s">
        <v>29</v>
      </c>
    </row>
    <row r="100" spans="2:6">
      <c r="B100" s="21" t="s">
        <v>15</v>
      </c>
      <c r="C100" s="21" t="s">
        <v>2</v>
      </c>
      <c r="D100" s="21" t="s">
        <v>3</v>
      </c>
      <c r="E100" s="21" t="s">
        <v>4</v>
      </c>
      <c r="F100" s="21" t="s">
        <v>5</v>
      </c>
    </row>
    <row r="101" spans="2:6">
      <c r="B101" s="21" t="s">
        <v>26</v>
      </c>
      <c r="C101" s="16">
        <f>C96/H140</f>
        <v>0.169982238631332</v>
      </c>
      <c r="D101" s="16">
        <f>D96/H141</f>
        <v>0.202350970022253</v>
      </c>
      <c r="E101" s="16">
        <f>E96/H142</f>
        <v>0.211383752262649</v>
      </c>
      <c r="F101" s="16">
        <f>F96/H143</f>
        <v>0.192505470977426</v>
      </c>
    </row>
    <row r="102" spans="3:9">
      <c r="C102" s="29" t="s">
        <v>30</v>
      </c>
      <c r="G102" t="s">
        <v>31</v>
      </c>
      <c r="I102" t="s">
        <v>32</v>
      </c>
    </row>
    <row r="103" spans="3:13">
      <c r="C103" s="1" t="s">
        <v>33</v>
      </c>
      <c r="G103" s="21" cm="1">
        <f t="array" ref="G103:G106">MMULT(_xlfn.ANCHORARRAY(B53),H91:H94)</f>
        <v>0.415227795931282</v>
      </c>
      <c r="H103" s="45" t="s">
        <v>18</v>
      </c>
      <c r="I103" s="21" cm="1">
        <f t="array" ref="I103:L103">MMULT(C92:F92,B53:E56)</f>
        <v>0.405961849323119</v>
      </c>
      <c r="J103" s="21">
        <v>0.414072904918213</v>
      </c>
      <c r="K103" s="21">
        <v>0.502982144422241</v>
      </c>
      <c r="L103" s="21">
        <v>0.504827546914185</v>
      </c>
      <c r="M103" s="26"/>
    </row>
    <row r="104" ht="15" spans="6:13">
      <c r="F104" s="44" t="s">
        <v>18</v>
      </c>
      <c r="G104" s="21">
        <v>0.56499302855626</v>
      </c>
      <c r="M104" s="25"/>
    </row>
    <row r="105" spans="3:13">
      <c r="C105" s="31"/>
      <c r="D105" s="31"/>
      <c r="E105" s="31"/>
      <c r="G105" s="21">
        <v>0.430886494307622</v>
      </c>
      <c r="M105" s="25"/>
    </row>
    <row r="106" spans="3:13">
      <c r="C106" s="26"/>
      <c r="D106" s="26"/>
      <c r="E106" s="26"/>
      <c r="G106" s="21">
        <v>0.418015411548181</v>
      </c>
      <c r="M106" s="25"/>
    </row>
    <row r="107" spans="3:13">
      <c r="C107" s="26"/>
      <c r="D107" s="26"/>
      <c r="E107" s="26"/>
      <c r="M107" s="25"/>
    </row>
    <row r="108" spans="3:13">
      <c r="C108" s="26"/>
      <c r="D108" s="26"/>
      <c r="E108" s="26"/>
      <c r="G108" s="21" cm="1">
        <f t="array" ref="G108:G111">MMULT(_xlfn.ANCHORARRAY(B53),I91:I94)</f>
        <v>0.415600725838753</v>
      </c>
      <c r="H108" s="45" t="s">
        <v>18</v>
      </c>
      <c r="I108" s="21" cm="1">
        <f t="array" ref="I108:L108">MMULT(C101:F101,B53:E56)</f>
        <v>0.406428148499177</v>
      </c>
      <c r="J108" s="21">
        <v>0.415936977648065</v>
      </c>
      <c r="K108" s="21">
        <v>0.504323762619469</v>
      </c>
      <c r="L108" s="21">
        <v>0.505712366913626</v>
      </c>
      <c r="M108" s="26"/>
    </row>
    <row r="109" ht="15" spans="3:13">
      <c r="C109" s="26"/>
      <c r="D109" s="26"/>
      <c r="E109" s="26"/>
      <c r="F109" s="44" t="s">
        <v>18</v>
      </c>
      <c r="G109" s="21">
        <v>0.566979074037673</v>
      </c>
      <c r="M109" s="25"/>
    </row>
    <row r="110" spans="3:13">
      <c r="C110" s="25"/>
      <c r="D110" s="25"/>
      <c r="E110" s="25"/>
      <c r="G110" s="21">
        <v>0.43186452624239</v>
      </c>
      <c r="M110" s="25"/>
    </row>
    <row r="111" spans="7:13">
      <c r="G111" s="21">
        <v>0.418411031569606</v>
      </c>
      <c r="M111" s="25"/>
    </row>
    <row r="112" spans="3:13">
      <c r="C112" s="1" t="s">
        <v>34</v>
      </c>
      <c r="H112" s="25"/>
      <c r="I112" s="25"/>
      <c r="J112" s="25"/>
      <c r="K112" s="25"/>
      <c r="L112" s="26"/>
      <c r="M112" s="25"/>
    </row>
    <row r="113" spans="3:12">
      <c r="C113" s="1" t="s">
        <v>35</v>
      </c>
      <c r="L113" s="30"/>
    </row>
    <row r="115" spans="2:6">
      <c r="B115" s="21" t="s">
        <v>15</v>
      </c>
      <c r="C115" s="21" t="s">
        <v>2</v>
      </c>
      <c r="D115" s="21" t="s">
        <v>3</v>
      </c>
      <c r="E115" s="21" t="s">
        <v>4</v>
      </c>
      <c r="F115" s="21" t="s">
        <v>5</v>
      </c>
    </row>
    <row r="116" spans="2:6">
      <c r="B116" s="21" t="s">
        <v>36</v>
      </c>
      <c r="C116" s="16">
        <f>C92/I103</f>
        <v>0.419086072097912</v>
      </c>
      <c r="D116" s="16">
        <f>D92/J103</f>
        <v>0.485494280562256</v>
      </c>
      <c r="E116" s="16">
        <f>E92/K103</f>
        <v>0.419040019461935</v>
      </c>
      <c r="F116" s="16">
        <f>F92/L103</f>
        <v>0.381523893656103</v>
      </c>
    </row>
    <row r="117" spans="2:6">
      <c r="B117" s="21" t="s">
        <v>37</v>
      </c>
      <c r="C117" s="16">
        <f>C101/I108</f>
        <v>0.418234414272308</v>
      </c>
      <c r="D117" s="16">
        <f>D101/J108</f>
        <v>0.48649430297459</v>
      </c>
      <c r="E117" s="16">
        <f>E101/K108</f>
        <v>0.419142955241127</v>
      </c>
      <c r="F117" s="16">
        <f>F101/L108</f>
        <v>0.380661980153445</v>
      </c>
    </row>
    <row r="118" spans="2:6">
      <c r="B118" s="21" t="s">
        <v>38</v>
      </c>
      <c r="C118" s="32">
        <f>C117/C116</f>
        <v>0.997967821213095</v>
      </c>
      <c r="D118" s="32">
        <f>D117/D116</f>
        <v>1.00205980266374</v>
      </c>
      <c r="E118" s="32">
        <f>E117/E116</f>
        <v>1.00024564665524</v>
      </c>
      <c r="F118" s="32">
        <f>F117/F116</f>
        <v>0.997740866255064</v>
      </c>
    </row>
    <row r="120" ht="86" customHeight="1" spans="3:6">
      <c r="C120" s="46" t="s">
        <v>39</v>
      </c>
      <c r="D120" s="46" t="s">
        <v>40</v>
      </c>
      <c r="E120" s="46" t="s">
        <v>40</v>
      </c>
      <c r="F120" s="46" t="s">
        <v>39</v>
      </c>
    </row>
    <row r="124" spans="2:3">
      <c r="B124" s="1" t="s">
        <v>41</v>
      </c>
      <c r="C124" s="1" t="s">
        <v>42</v>
      </c>
    </row>
    <row r="125" spans="2:2">
      <c r="B125" s="1" t="s">
        <v>43</v>
      </c>
    </row>
    <row r="126" spans="2:2">
      <c r="B126" s="1" t="s">
        <v>44</v>
      </c>
    </row>
    <row r="128" spans="3:3">
      <c r="C128" s="1" t="s">
        <v>45</v>
      </c>
    </row>
    <row r="130" ht="15" spans="1:1">
      <c r="A130" s="2"/>
    </row>
    <row r="131" ht="15" spans="1:6">
      <c r="A131" s="2"/>
      <c r="B131" s="21" t="s">
        <v>15</v>
      </c>
      <c r="C131" s="21" t="s">
        <v>2</v>
      </c>
      <c r="D131" s="21" t="s">
        <v>3</v>
      </c>
      <c r="E131" s="21" t="s">
        <v>4</v>
      </c>
      <c r="F131" s="21" t="s">
        <v>5</v>
      </c>
    </row>
    <row r="132" spans="2:6">
      <c r="B132" s="21" t="s">
        <v>46</v>
      </c>
      <c r="C132" s="16">
        <f>B30+(C146/C147)+(C144/C147)*(1+0.4)</f>
        <v>0.975721334762067</v>
      </c>
      <c r="D132" s="16">
        <f>C30+(D145/D147)+(D144/D147)*(1+0.3)</f>
        <v>0.880260127381413</v>
      </c>
      <c r="E132" s="16">
        <f>D30+(E145/E147)+(E144/E147)*(1+0.2)</f>
        <v>0.930402082414413</v>
      </c>
      <c r="F132" s="16">
        <f>E30+(F145/F147)+(F144/F147)*(1+0.4)</f>
        <v>1.04142413614315</v>
      </c>
    </row>
    <row r="136" spans="2:6">
      <c r="B136" s="34" t="s">
        <v>47</v>
      </c>
      <c r="C136" s="35">
        <f>C10/C9</f>
        <v>0.472128161626006</v>
      </c>
      <c r="D136" s="35">
        <f>D10/D9</f>
        <v>0.666808142765708</v>
      </c>
      <c r="E136" s="35">
        <f>E10/E9</f>
        <v>0.221552946374246</v>
      </c>
      <c r="F136" s="35">
        <f>F10/F9</f>
        <v>0.395711321046283</v>
      </c>
    </row>
    <row r="139" ht="28.5" spans="2:11">
      <c r="B139" s="4" t="s">
        <v>1</v>
      </c>
      <c r="C139" s="5" t="s">
        <v>2</v>
      </c>
      <c r="D139" s="5" t="s">
        <v>3</v>
      </c>
      <c r="E139" s="5" t="s">
        <v>4</v>
      </c>
      <c r="F139" s="5" t="s">
        <v>5</v>
      </c>
      <c r="G139" s="5" t="s">
        <v>6</v>
      </c>
      <c r="H139" s="5" t="s">
        <v>7</v>
      </c>
      <c r="J139" s="38"/>
      <c r="K139" s="38"/>
    </row>
    <row r="140" spans="2:20">
      <c r="B140" s="4" t="s">
        <v>2</v>
      </c>
      <c r="C140" s="36">
        <f>B26*$H$140</f>
        <v>920.340365663252</v>
      </c>
      <c r="D140" s="36">
        <f>C26*$H$140</f>
        <v>915.906022408136</v>
      </c>
      <c r="E140" s="36">
        <f>D26*$H$140</f>
        <v>820.257350075465</v>
      </c>
      <c r="F140" s="36">
        <f>E26*$H$140</f>
        <v>577.503470477202</v>
      </c>
      <c r="G140" s="36">
        <f>G5*1.04</f>
        <v>2864.89632</v>
      </c>
      <c r="H140" s="21" cm="1">
        <f t="array" ref="H140:H143">MMULT(_xlfn.ANCHORARRAY(B53),G140:G143)</f>
        <v>6097.53591519622</v>
      </c>
      <c r="J140" s="31"/>
      <c r="K140" s="38"/>
      <c r="S140" s="20"/>
      <c r="T140" s="43"/>
    </row>
    <row r="141" spans="2:20">
      <c r="B141" s="4" t="s">
        <v>3</v>
      </c>
      <c r="C141" s="36">
        <f>$H$141*B27</f>
        <v>1359.34684301486</v>
      </c>
      <c r="D141" s="36">
        <f>$H$141*C27</f>
        <v>1286.37174354449</v>
      </c>
      <c r="E141" s="36">
        <f>$H$141*D27</f>
        <v>1002.24229537782</v>
      </c>
      <c r="F141" s="36">
        <f>$H$141*E27</f>
        <v>2425.51713116383</v>
      </c>
      <c r="G141" s="36">
        <f>G6*1.02</f>
        <v>2773.9308</v>
      </c>
      <c r="H141" s="21">
        <v>7519.95631566609</v>
      </c>
      <c r="J141" s="31"/>
      <c r="K141" s="38"/>
      <c r="S141" s="20"/>
      <c r="T141" s="43"/>
    </row>
    <row r="142" spans="2:20">
      <c r="B142" s="4" t="s">
        <v>4</v>
      </c>
      <c r="C142" s="36">
        <f>$H$142*B28</f>
        <v>390.361853953888</v>
      </c>
      <c r="D142" s="36">
        <f>$H$142*C28</f>
        <v>132.352248279166</v>
      </c>
      <c r="E142" s="36">
        <f>$H$142*D28</f>
        <v>1080.06752334035</v>
      </c>
      <c r="F142" s="36">
        <f>$H$142*E28</f>
        <v>1027.79598106563</v>
      </c>
      <c r="G142" s="36">
        <f>G7*1.03</f>
        <v>2369.55311</v>
      </c>
      <c r="H142" s="21">
        <v>5142.21548896247</v>
      </c>
      <c r="J142" s="31"/>
      <c r="K142" s="38"/>
      <c r="S142" s="20"/>
      <c r="T142" s="43"/>
    </row>
    <row r="143" spans="2:20">
      <c r="B143" s="4" t="s">
        <v>5</v>
      </c>
      <c r="C143" s="36">
        <f>$H$143*B29</f>
        <v>631.762849382742</v>
      </c>
      <c r="D143" s="36">
        <f>$H$143*C29</f>
        <v>701.227183289436</v>
      </c>
      <c r="E143" s="36">
        <f>$H$143*D29</f>
        <v>788.33585968118</v>
      </c>
      <c r="F143" s="36">
        <f>$H$143*E29</f>
        <v>407.522924928246</v>
      </c>
      <c r="G143" s="36">
        <f>G8*1.04</f>
        <v>2234.2892</v>
      </c>
      <c r="H143" s="21">
        <v>5184.06282134716</v>
      </c>
      <c r="J143" s="31"/>
      <c r="K143" s="38"/>
      <c r="S143" s="20"/>
      <c r="T143" s="43"/>
    </row>
    <row r="144" spans="2:11">
      <c r="B144" s="4" t="s">
        <v>8</v>
      </c>
      <c r="C144" s="7">
        <f>C9*1.035</f>
        <v>1036.472805</v>
      </c>
      <c r="D144" s="7">
        <f>D9*1.035</f>
        <v>1521.670455</v>
      </c>
      <c r="E144" s="7">
        <f>E9*1.035</f>
        <v>1086.980805</v>
      </c>
      <c r="F144" s="7">
        <f>F9*1.035</f>
        <v>997.960455</v>
      </c>
      <c r="G144" s="8"/>
      <c r="H144" s="47" t="s">
        <v>48</v>
      </c>
      <c r="J144" s="39"/>
      <c r="K144" s="38"/>
    </row>
    <row r="145" spans="2:8">
      <c r="B145" s="4" t="s">
        <v>9</v>
      </c>
      <c r="C145" s="36">
        <f>C144*C136</f>
        <v>489.348</v>
      </c>
      <c r="D145" s="36">
        <f>D144*D136</f>
        <v>1014.66225</v>
      </c>
      <c r="E145" s="36">
        <f>E144*E136</f>
        <v>240.8238</v>
      </c>
      <c r="F145" s="36">
        <f>F144*F136</f>
        <v>394.90425</v>
      </c>
      <c r="G145" s="8"/>
      <c r="H145" s="47" t="s">
        <v>48</v>
      </c>
    </row>
    <row r="146" spans="2:8">
      <c r="B146" s="4" t="s">
        <v>10</v>
      </c>
      <c r="C146" s="36">
        <f>H140-C145-C144-C143-C142-C141-C140</f>
        <v>1269.90319818149</v>
      </c>
      <c r="D146" s="36">
        <f>H141-D145-D144-D143-D142-D141-D140</f>
        <v>1947.76641314486</v>
      </c>
      <c r="E146" s="36">
        <f>H142-E145-E144-E143-E142-E141-E140</f>
        <v>123.50785548766</v>
      </c>
      <c r="F146" s="36">
        <f>H143+F145-F144-F143-F142-F141-F140</f>
        <v>142.667108712261</v>
      </c>
      <c r="G146" s="8"/>
      <c r="H146" s="47" t="s">
        <v>48</v>
      </c>
    </row>
    <row r="147" spans="2:8">
      <c r="B147" s="4" t="s">
        <v>7</v>
      </c>
      <c r="C147" s="37">
        <f>H140</f>
        <v>6097.53591519622</v>
      </c>
      <c r="D147" s="37">
        <f>H141</f>
        <v>7519.95631566609</v>
      </c>
      <c r="E147" s="37">
        <f>H142</f>
        <v>5142.21548896247</v>
      </c>
      <c r="F147" s="37">
        <f>H143</f>
        <v>5184.06282134716</v>
      </c>
      <c r="G147" s="11"/>
      <c r="H147" s="10"/>
    </row>
    <row r="148" ht="15" spans="1:1">
      <c r="A148" s="2"/>
    </row>
    <row r="157" spans="10:20"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</row>
    <row r="158" spans="10:20"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</row>
    <row r="159" spans="10:20"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</row>
    <row r="160" spans="10:20"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</row>
    <row r="161" spans="10:20"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</row>
    <row r="162" spans="1:20">
      <c r="A162" s="38"/>
      <c r="B162" s="38"/>
      <c r="C162" s="38"/>
      <c r="D162" s="25"/>
      <c r="E162" s="25"/>
      <c r="F162" s="25"/>
      <c r="G162" s="25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</row>
    <row r="163" spans="1:20">
      <c r="A163" s="38"/>
      <c r="B163" s="39"/>
      <c r="C163" s="40"/>
      <c r="D163" s="25"/>
      <c r="E163" s="25"/>
      <c r="F163" s="25"/>
      <c r="G163" s="25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</row>
    <row r="164" spans="1:20">
      <c r="A164" s="38"/>
      <c r="B164" s="38"/>
      <c r="C164" s="40"/>
      <c r="D164" s="25"/>
      <c r="E164" s="25"/>
      <c r="F164" s="25"/>
      <c r="G164" s="25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</row>
    <row r="165" spans="1:20">
      <c r="A165" s="38"/>
      <c r="B165" s="38"/>
      <c r="C165" s="40"/>
      <c r="D165" s="25"/>
      <c r="E165" s="25"/>
      <c r="F165" s="25"/>
      <c r="G165" s="25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</row>
    <row r="166" spans="1:20">
      <c r="A166" s="38"/>
      <c r="B166" s="38"/>
      <c r="C166" s="40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</row>
    <row r="167" spans="1:20">
      <c r="A167" s="38"/>
      <c r="B167" s="38"/>
      <c r="C167" s="40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</row>
    <row r="168" spans="1:20">
      <c r="A168" s="38"/>
      <c r="B168" s="38"/>
      <c r="C168" s="40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</row>
    <row r="169" spans="1:20">
      <c r="A169" s="38"/>
      <c r="B169" s="38"/>
      <c r="C169" s="40"/>
      <c r="D169" s="38"/>
      <c r="E169" s="38"/>
      <c r="F169" s="38"/>
      <c r="G169" s="38"/>
      <c r="H169" s="38"/>
      <c r="I169" s="25"/>
      <c r="J169" s="25"/>
      <c r="K169" s="25"/>
      <c r="L169" s="25"/>
      <c r="M169" s="38"/>
      <c r="N169" s="25"/>
      <c r="O169" s="25"/>
      <c r="P169" s="25"/>
      <c r="Q169" s="25"/>
      <c r="R169" s="38"/>
      <c r="S169" s="38"/>
      <c r="T169" s="38"/>
    </row>
    <row r="170" spans="1:20">
      <c r="A170" s="38"/>
      <c r="B170" s="38"/>
      <c r="C170" s="40"/>
      <c r="D170" s="38"/>
      <c r="E170" s="38"/>
      <c r="F170" s="38"/>
      <c r="G170" s="38"/>
      <c r="H170" s="40"/>
      <c r="I170" s="25"/>
      <c r="J170" s="25"/>
      <c r="K170" s="25"/>
      <c r="L170" s="25"/>
      <c r="M170" s="40"/>
      <c r="N170" s="25"/>
      <c r="O170" s="25"/>
      <c r="P170" s="25"/>
      <c r="Q170" s="25"/>
      <c r="R170" s="38"/>
      <c r="S170" s="38"/>
      <c r="T170" s="38"/>
    </row>
    <row r="171" spans="1:20">
      <c r="A171" s="38"/>
      <c r="B171" s="39"/>
      <c r="C171" s="40"/>
      <c r="D171" s="38"/>
      <c r="E171" s="38"/>
      <c r="F171" s="38"/>
      <c r="G171" s="38"/>
      <c r="H171" s="38"/>
      <c r="I171" s="25"/>
      <c r="J171" s="25"/>
      <c r="K171" s="25"/>
      <c r="L171" s="25"/>
      <c r="M171" s="38"/>
      <c r="N171" s="25"/>
      <c r="O171" s="25"/>
      <c r="P171" s="25"/>
      <c r="Q171" s="25"/>
      <c r="R171" s="38"/>
      <c r="S171" s="38"/>
      <c r="T171" s="38"/>
    </row>
    <row r="172" spans="1:20">
      <c r="A172" s="38"/>
      <c r="B172" s="38"/>
      <c r="C172" s="40"/>
      <c r="D172" s="38"/>
      <c r="E172" s="38"/>
      <c r="F172" s="38"/>
      <c r="G172" s="38"/>
      <c r="H172" s="38"/>
      <c r="I172" s="25"/>
      <c r="J172" s="25"/>
      <c r="K172" s="25"/>
      <c r="L172" s="25"/>
      <c r="M172" s="38"/>
      <c r="N172" s="25"/>
      <c r="O172" s="25"/>
      <c r="P172" s="25"/>
      <c r="Q172" s="25"/>
      <c r="R172" s="38"/>
      <c r="S172" s="38"/>
      <c r="T172" s="38"/>
    </row>
    <row r="173" spans="1:20">
      <c r="A173" s="38"/>
      <c r="B173" s="38"/>
      <c r="C173" s="40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</row>
    <row r="174" spans="1:20">
      <c r="A174" s="38"/>
      <c r="B174" s="38"/>
      <c r="C174" s="40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</row>
    <row r="175" spans="1:20">
      <c r="A175" s="38"/>
      <c r="B175" s="38"/>
      <c r="C175" s="40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</row>
    <row r="176" spans="1:20">
      <c r="A176" s="38"/>
      <c r="B176" s="38"/>
      <c r="C176" s="40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</row>
    <row r="177" spans="1:20">
      <c r="A177" s="38"/>
      <c r="B177" s="38"/>
      <c r="C177" s="41"/>
      <c r="D177" s="25"/>
      <c r="E177" s="25"/>
      <c r="F177" s="25"/>
      <c r="G177" s="25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</row>
    <row r="178" spans="1:20">
      <c r="A178" s="38"/>
      <c r="B178" s="38"/>
      <c r="C178" s="41"/>
      <c r="D178" s="25"/>
      <c r="E178" s="25"/>
      <c r="F178" s="25"/>
      <c r="G178" s="25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</row>
    <row r="179" spans="1:20">
      <c r="A179" s="38"/>
      <c r="B179" s="38"/>
      <c r="C179" s="40"/>
      <c r="D179" s="25"/>
      <c r="E179" s="25"/>
      <c r="F179" s="25"/>
      <c r="G179" s="25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</row>
    <row r="180" spans="1:20">
      <c r="A180" s="38"/>
      <c r="B180" s="38"/>
      <c r="C180" s="25"/>
      <c r="D180" s="25"/>
      <c r="E180" s="25"/>
      <c r="F180" s="25"/>
      <c r="G180" s="25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</row>
    <row r="181" spans="1:20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</row>
    <row r="182" spans="1:20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</row>
    <row r="183" spans="1:20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</row>
    <row r="184" spans="1:20">
      <c r="A184" s="38"/>
      <c r="B184" s="38"/>
      <c r="C184" s="25"/>
      <c r="D184" s="25"/>
      <c r="E184" s="25"/>
      <c r="F184" s="25"/>
      <c r="G184" s="38"/>
      <c r="H184" s="25"/>
      <c r="I184" s="38"/>
      <c r="J184" s="38"/>
      <c r="K184" s="38"/>
      <c r="L184" s="42"/>
      <c r="M184" s="38"/>
      <c r="N184" s="38"/>
      <c r="O184" s="38"/>
      <c r="P184" s="38"/>
      <c r="Q184" s="38"/>
      <c r="R184" s="38"/>
      <c r="S184" s="38"/>
      <c r="T184" s="38"/>
    </row>
    <row r="185" spans="1:20">
      <c r="A185" s="38"/>
      <c r="B185" s="39"/>
      <c r="C185" s="25"/>
      <c r="D185" s="25"/>
      <c r="E185" s="25"/>
      <c r="F185" s="25"/>
      <c r="G185" s="40"/>
      <c r="H185" s="25"/>
      <c r="I185" s="40"/>
      <c r="J185" s="38"/>
      <c r="K185" s="38"/>
      <c r="L185" s="42"/>
      <c r="M185" s="38"/>
      <c r="N185" s="38"/>
      <c r="O185" s="38"/>
      <c r="P185" s="38"/>
      <c r="Q185" s="38"/>
      <c r="R185" s="38"/>
      <c r="S185" s="38"/>
      <c r="T185" s="38"/>
    </row>
    <row r="186" spans="1:20">
      <c r="A186" s="38"/>
      <c r="B186" s="38"/>
      <c r="C186" s="25"/>
      <c r="D186" s="25"/>
      <c r="E186" s="25"/>
      <c r="F186" s="25"/>
      <c r="G186" s="38"/>
      <c r="H186" s="25"/>
      <c r="I186" s="38"/>
      <c r="J186" s="38"/>
      <c r="K186" s="38"/>
      <c r="L186" s="42"/>
      <c r="M186" s="38"/>
      <c r="N186" s="38"/>
      <c r="O186" s="38"/>
      <c r="P186" s="38"/>
      <c r="Q186" s="38"/>
      <c r="R186" s="38"/>
      <c r="S186" s="38"/>
      <c r="T186" s="38"/>
    </row>
    <row r="187" spans="1:20">
      <c r="A187" s="38"/>
      <c r="B187" s="38"/>
      <c r="C187" s="25"/>
      <c r="D187" s="25"/>
      <c r="E187" s="25"/>
      <c r="F187" s="25"/>
      <c r="G187" s="38"/>
      <c r="H187" s="25"/>
      <c r="I187" s="38"/>
      <c r="J187" s="38"/>
      <c r="K187" s="38"/>
      <c r="L187" s="42"/>
      <c r="M187" s="38"/>
      <c r="N187" s="38"/>
      <c r="O187" s="38"/>
      <c r="P187" s="38"/>
      <c r="Q187" s="38"/>
      <c r="R187" s="38"/>
      <c r="S187" s="38"/>
      <c r="T187" s="38"/>
    </row>
    <row r="188" spans="1:20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</row>
    <row r="194" spans="1:20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</row>
    <row r="195" spans="1:20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len190703@gmail.com</dc:creator>
  <cp:lastModifiedBy>fergus</cp:lastModifiedBy>
  <dcterms:created xsi:type="dcterms:W3CDTF">2026-03-07T07:17:00Z</dcterms:created>
  <dcterms:modified xsi:type="dcterms:W3CDTF">2026-03-16T17:31:04Z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5A604744D27747BAABE6935109D0ABF1_13</vt:lpwstr>
  </property>
  <property fmtid="{D5CDD505-2E9C-101B-9397-08002B2CF9AE}" pid="3" name="KSOProductBuildVer">
    <vt:lpwstr>1049-12.2.0.23197</vt:lpwstr>
  </property>
</Properties>
</file>