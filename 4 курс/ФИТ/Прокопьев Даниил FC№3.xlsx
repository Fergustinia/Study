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885"/>
  </bookViews>
  <sheets>
    <sheet name="Лист1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<sst xmlns="http://schemas.openxmlformats.org/spreadsheetml/2006/main" count="100" uniqueCount="88">
  <si>
    <t>Вариант 3</t>
  </si>
  <si>
    <t xml:space="preserve">Период сглаживания = </t>
  </si>
  <si>
    <t>выр. спрос</t>
  </si>
  <si>
    <t>Месяц №</t>
  </si>
  <si>
    <t>Цена</t>
  </si>
  <si>
    <t>Спрос</t>
  </si>
  <si>
    <t>Доход</t>
  </si>
  <si>
    <t>Период</t>
  </si>
  <si>
    <t>По цене</t>
  </si>
  <si>
    <t>По спросу</t>
  </si>
  <si>
    <t>По доходу</t>
  </si>
  <si>
    <t>ln(L)</t>
  </si>
  <si>
    <t>ln(Y)</t>
  </si>
  <si>
    <t>ln(Fi)</t>
  </si>
  <si>
    <t>ln^2(Fi)</t>
  </si>
  <si>
    <t>ln^2(L)</t>
  </si>
  <si>
    <t>ln(Fi)*ln(L)</t>
  </si>
  <si>
    <t>ln(Y)*ln(Fi)</t>
  </si>
  <si>
    <t>ln(Y)*ln(L)</t>
  </si>
  <si>
    <t>1..3</t>
  </si>
  <si>
    <t>2..4</t>
  </si>
  <si>
    <t>3..5</t>
  </si>
  <si>
    <t>4..6</t>
  </si>
  <si>
    <t>5..7</t>
  </si>
  <si>
    <t>6..8</t>
  </si>
  <si>
    <t>7..9</t>
  </si>
  <si>
    <t>8..10</t>
  </si>
  <si>
    <t>9..11</t>
  </si>
  <si>
    <t>10..12</t>
  </si>
  <si>
    <t>11..13</t>
  </si>
  <si>
    <t>12..14</t>
  </si>
  <si>
    <t>13..15</t>
  </si>
  <si>
    <t>14..16</t>
  </si>
  <si>
    <t>15..17</t>
  </si>
  <si>
    <t>16..18</t>
  </si>
  <si>
    <t>17..19</t>
  </si>
  <si>
    <t>18..20</t>
  </si>
  <si>
    <t>19..21</t>
  </si>
  <si>
    <t>20..22</t>
  </si>
  <si>
    <t>21..23</t>
  </si>
  <si>
    <t>22..24</t>
  </si>
  <si>
    <t>аппрокс. спрос</t>
  </si>
  <si>
    <t>22lna0​+239.952017α+119.880141β=260.439063</t>
  </si>
  <si>
    <t xml:space="preserve"> </t>
  </si>
  <si>
    <t>119.880141lna0​+1307.526881α+653.301086β=1419.191863</t>
  </si>
  <si>
    <t xml:space="preserve">x1 = </t>
  </si>
  <si>
    <t>ln(a)</t>
  </si>
  <si>
    <t xml:space="preserve">Сред = </t>
  </si>
  <si>
    <t xml:space="preserve">x2 = </t>
  </si>
  <si>
    <t>alpha</t>
  </si>
  <si>
    <t xml:space="preserve">x3 = </t>
  </si>
  <si>
    <t>beta</t>
  </si>
  <si>
    <t xml:space="preserve"> = </t>
  </si>
  <si>
    <t>x1 =</t>
  </si>
  <si>
    <t xml:space="preserve"> =&gt;</t>
  </si>
  <si>
    <t xml:space="preserve">a = </t>
  </si>
  <si>
    <t>alpha =</t>
  </si>
  <si>
    <t xml:space="preserve">beta = </t>
  </si>
  <si>
    <t xml:space="preserve">Corr = </t>
  </si>
  <si>
    <t xml:space="preserve">f(D, s) = </t>
  </si>
  <si>
    <t>E59*(D^E60)*(s^E61)</t>
  </si>
  <si>
    <t>4645.889*(D^0.040691E60)*(s^0.541471)</t>
  </si>
  <si>
    <t>Берём производную:</t>
  </si>
  <si>
    <t>Us′​=∂C/∂s​</t>
  </si>
  <si>
    <t>Производная степенной функции:</t>
  </si>
  <si>
    <t>(𝑑/𝑑𝑠)*(𝑠^𝛽)=𝛽𝑠^(𝛽−1)</t>
  </si>
  <si>
    <t>Поэтому:</t>
  </si>
  <si>
    <t>Us′=a0*(D^α)*β*s^(β−1)</t>
  </si>
  <si>
    <t>Теперь вынесем C:</t>
  </si>
  <si>
    <t>C=a0*(D^α)*s^β</t>
  </si>
  <si>
    <t>делим на s:</t>
  </si>
  <si>
    <t>C/s​=a0*(​D^α)*s^β−1</t>
  </si>
  <si>
    <t>Подставляем:</t>
  </si>
  <si>
    <t>Us′=β*C/s</t>
  </si>
  <si>
    <t>Ud′=a*C/D</t>
  </si>
  <si>
    <t>Us</t>
  </si>
  <si>
    <t>Ud</t>
  </si>
  <si>
    <t>1-й месяц планового квартала</t>
  </si>
  <si>
    <t>2-й месяц планового квартала</t>
  </si>
  <si>
    <t>s=</t>
  </si>
  <si>
    <t>D=</t>
  </si>
  <si>
    <t>Прогноз спроса</t>
  </si>
  <si>
    <t>Используем функцию:</t>
  </si>
  <si>
    <t>C=4645.889*(D^0.040691E60)*(s^0.541471)</t>
  </si>
  <si>
    <t>C1</t>
  </si>
  <si>
    <t>C2</t>
  </si>
  <si>
    <t>C3</t>
  </si>
  <si>
    <t>Вывод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</si>
</sst>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2">
    <font>
      <sz val="11"/>
      <color theme="1"/>
      <name val="Calibri"/>
      <charset val="134"/>
      <scheme val="minor"/>
    </font>
    <font>
      <sz val="11"/>
      <color rgb="FF000000"/>
      <name val="Times New Roman"/>
      <charset val="134"/>
    </font>
    <font>
      <sz val="11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8" applyNumberFormat="0" applyAlignment="0" applyProtection="0">
      <alignment vertical="center"/>
    </xf>
    <xf numFmtId="0" fontId="12" fillId="4" borderId="9" applyNumberFormat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5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 applyFill="1" applyAlignment="1"/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/>
    </xf>
    <xf numFmtId="0" fontId="2" fillId="0" borderId="1" xfId="0" applyNumberFormat="1" applyFont="1" applyFill="1" applyBorder="1" applyAlignment="1">
      <alignment horizontal="center"/>
    </xf>
    <xf numFmtId="0" fontId="1" fillId="0" borderId="2" xfId="0" applyFont="1" applyFill="1" applyBorder="1" applyAlignment="1"/>
    <xf numFmtId="0" fontId="0" fillId="0" borderId="3" xfId="0" applyBorder="1">
      <alignment vertical="center"/>
    </xf>
    <xf numFmtId="0" fontId="1" fillId="0" borderId="3" xfId="0" applyFont="1" applyFill="1" applyBorder="1" applyAlignment="1"/>
    <xf numFmtId="0" fontId="2" fillId="0" borderId="3" xfId="0" applyFont="1" applyFill="1" applyBorder="1" applyAlignment="1"/>
    <xf numFmtId="0" fontId="2" fillId="0" borderId="3" xfId="0" applyFont="1" applyFill="1" applyBorder="1" applyAlignment="1">
      <alignment horizontal="center" vertical="center"/>
    </xf>
    <xf numFmtId="0" fontId="2" fillId="0" borderId="3" xfId="0" applyNumberFormat="1" applyFont="1" applyFill="1" applyBorder="1" applyAlignment="1">
      <alignment horizontal="center" vertical="center"/>
    </xf>
    <xf numFmtId="0" fontId="2" fillId="0" borderId="3" xfId="0" applyNumberFormat="1" applyFont="1" applyFill="1" applyBorder="1" applyAlignment="1"/>
    <xf numFmtId="0" fontId="2" fillId="0" borderId="3" xfId="0" applyFont="1" applyFill="1" applyBorder="1" applyAlignment="1">
      <alignment horizontal="center"/>
    </xf>
    <xf numFmtId="0" fontId="2" fillId="0" borderId="2" xfId="0" applyNumberFormat="1" applyFont="1" applyFill="1" applyBorder="1" applyAlignment="1"/>
    <xf numFmtId="0" fontId="2" fillId="0" borderId="2" xfId="0" applyFont="1" applyFill="1" applyBorder="1" applyAlignment="1"/>
    <xf numFmtId="0" fontId="2" fillId="0" borderId="4" xfId="0" applyFont="1" applyFill="1" applyBorder="1" applyAlignment="1"/>
    <xf numFmtId="0" fontId="1" fillId="0" borderId="4" xfId="0" applyFont="1" applyFill="1" applyBorder="1" applyAlignment="1"/>
    <xf numFmtId="0" fontId="2" fillId="0" borderId="0" xfId="0" applyFont="1" applyFill="1" applyBorder="1" applyAlignment="1"/>
    <xf numFmtId="0" fontId="1" fillId="0" borderId="0" xfId="0" applyFont="1" applyFill="1" applyBorder="1" applyAlignment="1"/>
    <xf numFmtId="0" fontId="2" fillId="0" borderId="0" xfId="0" applyFont="1" applyFill="1" applyAlignment="1">
      <alignment horizontal="center"/>
    </xf>
    <xf numFmtId="0" fontId="1" fillId="0" borderId="0" xfId="0" applyFont="1" applyFill="1" applyBorder="1" applyAlignment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142875</xdr:colOff>
      <xdr:row>29</xdr:row>
      <xdr:rowOff>66675</xdr:rowOff>
    </xdr:from>
    <xdr:ext cx="4429760" cy="2057400"/>
    <xdr:pic>
      <xdr:nvPicPr>
        <xdr:cNvPr id="3" name="image1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142875" y="5867400"/>
          <a:ext cx="4429760" cy="20574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419100</xdr:colOff>
      <xdr:row>0</xdr:row>
      <xdr:rowOff>114300</xdr:rowOff>
    </xdr:from>
    <xdr:ext cx="6605905" cy="273685"/>
    <xdr:sp>
      <xdr:nvSpPr>
        <xdr:cNvPr id="9" name="Текстовое поле 8"/>
        <xdr:cNvSpPr txBox="1"/>
      </xdr:nvSpPr>
      <xdr:spPr>
        <a:xfrm>
          <a:off x="6762750" y="114300"/>
          <a:ext cx="6605905" cy="27368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p>
          <a:pPr algn="l"/>
          <a:r>
            <a:rPr lang="ru-RU" altLang="en-US" sz="1100"/>
            <a:t>Скользящая средняя нужна, чтобы убрать случайные скачки и оставить более устойчивую тенденцию ряда.</a:t>
          </a:r>
          <a:endParaRPr lang="ru-RU" altLang="en-US" sz="1100"/>
        </a:p>
      </xdr:txBody>
    </xdr:sp>
    <xdr:clientData/>
  </xdr:oneCellAnchor>
  <xdr:oneCellAnchor>
    <xdr:from>
      <xdr:col>6</xdr:col>
      <xdr:colOff>76200</xdr:colOff>
      <xdr:row>52</xdr:row>
      <xdr:rowOff>38100</xdr:rowOff>
    </xdr:from>
    <xdr:ext cx="1497330" cy="2101215"/>
    <xdr:sp>
      <xdr:nvSpPr>
        <xdr:cNvPr id="10" name="Текстовое поле 9"/>
        <xdr:cNvSpPr txBox="1"/>
      </xdr:nvSpPr>
      <xdr:spPr>
        <a:xfrm>
          <a:off x="4705350" y="10439400"/>
          <a:ext cx="1497330" cy="210121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p>
          <a:pPr algn="l"/>
          <a:r>
            <a:rPr lang="ru-RU" altLang="en-US" sz="1100"/>
            <a:t>если доход увеличится на 1%, то спрос увеличится примерно на</a:t>
          </a:r>
          <a:endParaRPr lang="ru-RU" altLang="en-US" sz="1100"/>
        </a:p>
        <a:p>
          <a:pPr algn="l"/>
          <a:r>
            <a:rPr lang="ru-RU" altLang="en-US" sz="1100"/>
            <a:t>0.040691%</a:t>
          </a:r>
          <a:endParaRPr lang="ru-RU" altLang="en-US" sz="1100"/>
        </a:p>
        <a:p>
          <a:pPr algn="l"/>
          <a:r>
            <a:rPr lang="ru-RU" altLang="en-US" sz="1100"/>
            <a:t>То есть влияние дохода очень слабое.</a:t>
          </a:r>
          <a:endParaRPr lang="ru-RU" altLang="en-US" sz="1100"/>
        </a:p>
        <a:p>
          <a:pPr algn="l"/>
          <a:r>
            <a:rPr lang="ru-RU" altLang="en-US" sz="1100"/>
            <a:t>товар относится к малоэластичным по доходу.</a:t>
          </a:r>
          <a:endParaRPr lang="ru-RU" altLang="en-US" sz="1100"/>
        </a:p>
        <a:p>
          <a:pPr algn="l"/>
          <a:endParaRPr lang="ru-RU" altLang="en-US" sz="1100"/>
        </a:p>
      </xdr:txBody>
    </xdr:sp>
    <xdr:clientData/>
  </xdr:oneCellAnchor>
  <xdr:oneCellAnchor>
    <xdr:from>
      <xdr:col>5</xdr:col>
      <xdr:colOff>190500</xdr:colOff>
      <xdr:row>62</xdr:row>
      <xdr:rowOff>19050</xdr:rowOff>
    </xdr:from>
    <xdr:ext cx="1974850" cy="1004570"/>
    <xdr:sp>
      <xdr:nvSpPr>
        <xdr:cNvPr id="11" name="Текстовое поле 10"/>
        <xdr:cNvSpPr txBox="1"/>
      </xdr:nvSpPr>
      <xdr:spPr>
        <a:xfrm>
          <a:off x="3962400" y="12420600"/>
          <a:ext cx="1974850" cy="100457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p>
          <a:pPr algn="l"/>
          <a:r>
            <a:rPr lang="en-US" altLang="ru-RU" sz="1100"/>
            <a:t> </a:t>
          </a:r>
          <a:r>
            <a:rPr lang="ru-RU" altLang="en-US" sz="1100"/>
            <a:t>если цена увеличится на 1%, то спрос, согласно полученной модели, увеличится примерно на</a:t>
          </a:r>
          <a:endParaRPr lang="ru-RU" altLang="en-US" sz="1100"/>
        </a:p>
        <a:p>
          <a:pPr algn="l"/>
          <a:r>
            <a:rPr lang="ru-RU" altLang="en-US" sz="1100"/>
            <a:t>0.541471%</a:t>
          </a:r>
          <a:endParaRPr lang="ru-RU" altLang="en-US" sz="1100"/>
        </a:p>
      </xdr:txBody>
    </xdr:sp>
    <xdr:clientData/>
  </xdr:oneCellAnchor>
  <xdr:twoCellAnchor editAs="oneCell">
    <xdr:from>
      <xdr:col>0</xdr:col>
      <xdr:colOff>635</xdr:colOff>
      <xdr:row>74</xdr:row>
      <xdr:rowOff>85725</xdr:rowOff>
    </xdr:from>
    <xdr:to>
      <xdr:col>5</xdr:col>
      <xdr:colOff>381635</xdr:colOff>
      <xdr:row>81</xdr:row>
      <xdr:rowOff>9525</xdr:rowOff>
    </xdr:to>
    <xdr:pic>
      <xdr:nvPicPr>
        <xdr:cNvPr id="12" name="Изображение 1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35" y="14868525"/>
          <a:ext cx="4152900" cy="1323975"/>
        </a:xfrm>
        <a:prstGeom prst="rect">
          <a:avLst/>
        </a:prstGeom>
        <a:noFill/>
        <a:ln w="9525">
          <a:noFill/>
        </a:ln>
      </xdr:spPr>
    </xdr:pic>
    <xdr:clientData/>
  </xdr:twoCellAnchor>
  <xdr:oneCellAnchor>
    <xdr:from>
      <xdr:col>0</xdr:col>
      <xdr:colOff>161925</xdr:colOff>
      <xdr:row>44</xdr:row>
      <xdr:rowOff>124460</xdr:rowOff>
    </xdr:from>
    <xdr:ext cx="5397500" cy="456565"/>
    <xdr:sp>
      <xdr:nvSpPr>
        <xdr:cNvPr id="13" name="Текстовое поле 12"/>
        <xdr:cNvSpPr txBox="1"/>
      </xdr:nvSpPr>
      <xdr:spPr>
        <a:xfrm>
          <a:off x="161925" y="8925560"/>
          <a:ext cx="5397500" cy="45656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p>
          <a:pPr algn="l"/>
          <a:r>
            <a:rPr lang="ru-RU" altLang="en-US" sz="1100"/>
            <a:t>По методичке параметры находятся по системе нормальных уравнений, аналогичной системе для Кобба–Дугласа.</a:t>
          </a:r>
          <a:endParaRPr lang="ru-RU" altLang="en-US" sz="1100"/>
        </a:p>
      </xdr:txBody>
    </xdr:sp>
    <xdr:clientData/>
  </xdr:oneCellAnchor>
  <xdr:twoCellAnchor editAs="oneCell">
    <xdr:from>
      <xdr:col>5</xdr:col>
      <xdr:colOff>704850</xdr:colOff>
      <xdr:row>77</xdr:row>
      <xdr:rowOff>57150</xdr:rowOff>
    </xdr:from>
    <xdr:to>
      <xdr:col>9</xdr:col>
      <xdr:colOff>600075</xdr:colOff>
      <xdr:row>82</xdr:row>
      <xdr:rowOff>47625</xdr:rowOff>
    </xdr:to>
    <xdr:pic>
      <xdr:nvPicPr>
        <xdr:cNvPr id="14" name="Изображение 1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476750" y="15440025"/>
          <a:ext cx="3324225" cy="990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847725</xdr:colOff>
      <xdr:row>77</xdr:row>
      <xdr:rowOff>19050</xdr:rowOff>
    </xdr:from>
    <xdr:to>
      <xdr:col>14</xdr:col>
      <xdr:colOff>219075</xdr:colOff>
      <xdr:row>82</xdr:row>
      <xdr:rowOff>0</xdr:rowOff>
    </xdr:to>
    <xdr:pic>
      <xdr:nvPicPr>
        <xdr:cNvPr id="15" name="Изображение 1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8048625" y="15401925"/>
          <a:ext cx="3657600" cy="981075"/>
        </a:xfrm>
        <a:prstGeom prst="rect">
          <a:avLst/>
        </a:prstGeom>
        <a:noFill/>
        <a:ln w="9525">
          <a:noFill/>
        </a:ln>
      </xdr:spPr>
    </xdr:pic>
    <xdr:clientData/>
  </xdr:twoCellAnchor>
  <xdr:oneCellAnchor>
    <xdr:from>
      <xdr:col>7</xdr:col>
      <xdr:colOff>800100</xdr:colOff>
      <xdr:row>83</xdr:row>
      <xdr:rowOff>180975</xdr:rowOff>
    </xdr:from>
    <xdr:ext cx="4099560" cy="273685"/>
    <xdr:sp>
      <xdr:nvSpPr>
        <xdr:cNvPr id="16" name="Текстовое поле 15"/>
        <xdr:cNvSpPr txBox="1"/>
      </xdr:nvSpPr>
      <xdr:spPr>
        <a:xfrm>
          <a:off x="6286500" y="16764000"/>
          <a:ext cx="4099560" cy="27368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p>
          <a:pPr algn="l"/>
          <a:r>
            <a:rPr lang="ru-RU" altLang="en-US" sz="1100"/>
            <a:t>Для предельеой эффективности спроса по доходу, делаем так же</a:t>
          </a:r>
          <a:endParaRPr lang="ru-RU" altLang="en-US" sz="1100"/>
        </a:p>
      </xdr:txBody>
    </xdr:sp>
    <xdr:clientData/>
  </xdr:oneCellAnchor>
  <xdr:oneCellAnchor>
    <xdr:from>
      <xdr:col>0</xdr:col>
      <xdr:colOff>257175</xdr:colOff>
      <xdr:row>94</xdr:row>
      <xdr:rowOff>104775</xdr:rowOff>
    </xdr:from>
    <xdr:ext cx="1718945" cy="1187450"/>
    <xdr:sp>
      <xdr:nvSpPr>
        <xdr:cNvPr id="17" name="Текстовое поле 16"/>
        <xdr:cNvSpPr txBox="1"/>
      </xdr:nvSpPr>
      <xdr:spPr>
        <a:xfrm>
          <a:off x="257175" y="18888075"/>
          <a:ext cx="1718945" cy="118745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p>
          <a:pPr algn="l"/>
          <a:r>
            <a:rPr lang="ru-RU" altLang="en-US" sz="1100"/>
            <a:t>Если цену увеличить на 1 рубль в окрестности средних значений, то спрос по модели увеличится примерно на 323.31 единицы.</a:t>
          </a:r>
          <a:endParaRPr lang="ru-RU" altLang="en-US" sz="1100"/>
        </a:p>
      </xdr:txBody>
    </xdr:sp>
    <xdr:clientData/>
  </xdr:oneCellAnchor>
  <xdr:oneCellAnchor>
    <xdr:from>
      <xdr:col>8</xdr:col>
      <xdr:colOff>28575</xdr:colOff>
      <xdr:row>94</xdr:row>
      <xdr:rowOff>48260</xdr:rowOff>
    </xdr:from>
    <xdr:ext cx="1725930" cy="1187450"/>
    <xdr:sp>
      <xdr:nvSpPr>
        <xdr:cNvPr id="18" name="Текстовое поле 17"/>
        <xdr:cNvSpPr txBox="1"/>
      </xdr:nvSpPr>
      <xdr:spPr>
        <a:xfrm>
          <a:off x="6372225" y="18831560"/>
          <a:ext cx="1725930" cy="118745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p>
          <a:pPr algn="l"/>
          <a:r>
            <a:rPr lang="ru-RU" altLang="en-US" sz="1100"/>
            <a:t>Если доход увеличить на 1 рубль в окрестности средних значений, то спрос вырастет примерно на 0.104 единицы.</a:t>
          </a:r>
          <a:endParaRPr lang="ru-RU" altLang="en-US" sz="1100"/>
        </a:p>
      </xdr:txBody>
    </xdr:sp>
    <xdr:clientData/>
  </xdr:oneCellAnchor>
  <xdr:oneCellAnchor>
    <xdr:from>
      <xdr:col>1</xdr:col>
      <xdr:colOff>29845</xdr:colOff>
      <xdr:row>102</xdr:row>
      <xdr:rowOff>190500</xdr:rowOff>
    </xdr:from>
    <xdr:ext cx="5603875" cy="822325"/>
    <xdr:sp>
      <xdr:nvSpPr>
        <xdr:cNvPr id="19" name="Текстовое поле 18"/>
        <xdr:cNvSpPr txBox="1"/>
      </xdr:nvSpPr>
      <xdr:spPr>
        <a:xfrm>
          <a:off x="372745" y="20574000"/>
          <a:ext cx="5603875" cy="82232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p>
          <a:pPr algn="l"/>
          <a:r>
            <a:rPr lang="ru-RU" altLang="en-US" sz="1100"/>
            <a:t>Задать 3 новых значения параметров-аргументов (D, s), сравнимые по</a:t>
          </a:r>
          <a:endParaRPr lang="ru-RU" altLang="en-US" sz="1100"/>
        </a:p>
        <a:p>
          <a:pPr algn="l"/>
          <a:r>
            <a:rPr lang="ru-RU" altLang="en-US" sz="1100"/>
            <a:t>абсолютному значению с соответствующими исходными данными 24-го месяца, и на базе</a:t>
          </a:r>
          <a:endParaRPr lang="ru-RU" altLang="en-US" sz="1100"/>
        </a:p>
        <a:p>
          <a:pPr algn="l"/>
          <a:r>
            <a:rPr lang="ru-RU" altLang="en-US" sz="1100"/>
            <a:t>построенной ФС рассчитать значения параметра-функции С на 1-й квартал (месяцы №1,</a:t>
          </a:r>
          <a:endParaRPr lang="ru-RU" altLang="en-US" sz="1100"/>
        </a:p>
        <a:p>
          <a:pPr algn="l"/>
          <a:r>
            <a:rPr lang="ru-RU" altLang="en-US" sz="1100"/>
            <a:t>№ 2, № 3) планового года. </a:t>
          </a:r>
          <a:endParaRPr lang="ru-RU" altLang="en-US" sz="1100"/>
        </a:p>
      </xdr:txBody>
    </xdr:sp>
    <xdr:clientData/>
  </xdr:oneCellAnchor>
  <xdr:oneCellAnchor>
    <xdr:from>
      <xdr:col>1</xdr:col>
      <xdr:colOff>704850</xdr:colOff>
      <xdr:row>119</xdr:row>
      <xdr:rowOff>190500</xdr:rowOff>
    </xdr:from>
    <xdr:ext cx="6393180" cy="1370330"/>
    <xdr:sp>
      <xdr:nvSpPr>
        <xdr:cNvPr id="20" name="Текстовое поле 19"/>
        <xdr:cNvSpPr txBox="1"/>
      </xdr:nvSpPr>
      <xdr:spPr>
        <a:xfrm>
          <a:off x="1047750" y="23974425"/>
          <a:ext cx="6393180" cy="137033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p>
          <a:pPr algn="l"/>
          <a:r>
            <a:rPr lang="ru-RU" altLang="en-US" sz="1100"/>
            <a:t>Спрос слабо зависит от дохода.</a:t>
          </a:r>
          <a:endParaRPr lang="ru-RU" altLang="en-US" sz="1100"/>
        </a:p>
        <a:p>
          <a:pPr algn="l"/>
          <a:r>
            <a:rPr lang="ru-RU" altLang="en-US" sz="1100"/>
            <a:t>Товар малоэластичен по доходу.</a:t>
          </a:r>
          <a:endParaRPr lang="ru-RU" altLang="en-US" sz="1100"/>
        </a:p>
        <a:p>
          <a:pPr algn="l"/>
          <a:r>
            <a:rPr lang="ru-RU" altLang="en-US" sz="1100"/>
            <a:t>По цене наблюдается необычное поведение: в рассматриваемой выборке спрос растёт вместе с ценой.</a:t>
          </a:r>
          <a:endParaRPr lang="ru-RU" altLang="en-US" sz="1100"/>
        </a:p>
        <a:p>
          <a:pPr algn="l"/>
          <a:r>
            <a:rPr lang="ru-RU" altLang="en-US" sz="1100"/>
            <a:t>На 1 квартал планового года прогноз спроса составляет примерно:</a:t>
          </a:r>
          <a:endParaRPr lang="ru-RU" altLang="en-US" sz="1100"/>
        </a:p>
        <a:p>
          <a:pPr algn="l"/>
          <a:r>
            <a:rPr lang="ru-RU" altLang="en-US" sz="1100"/>
            <a:t>146789.39</a:t>
          </a:r>
          <a:endParaRPr lang="ru-RU" altLang="en-US" sz="1100"/>
        </a:p>
        <a:p>
          <a:pPr algn="l"/>
          <a:r>
            <a:rPr lang="ru-RU" altLang="en-US" sz="1100"/>
            <a:t>147179.08</a:t>
          </a:r>
          <a:endParaRPr lang="ru-RU" altLang="en-US" sz="1100"/>
        </a:p>
        <a:p>
          <a:pPr algn="l"/>
          <a:r>
            <a:rPr lang="ru-RU" altLang="en-US" sz="1100"/>
            <a:t>147488.89</a:t>
          </a:r>
          <a:endParaRPr lang="ru-RU" altLang="en-US" sz="1100"/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&#1042;&#1067;&#1061;&#1059;&#1061;&#1054;&#1051;&#1068;\Downloads\EconModelling3%20(2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</sheetNames>
    <sheetDataSet>
      <sheetData sheetId="0">
        <row r="41">
          <cell r="G41">
            <v>139913.333333333</v>
          </cell>
          <cell r="H41">
            <v>132874.129428941</v>
          </cell>
        </row>
        <row r="42">
          <cell r="G42">
            <v>142933.333333333</v>
          </cell>
          <cell r="H42">
            <v>132964.48037232</v>
          </cell>
        </row>
        <row r="43">
          <cell r="G43">
            <v>145280</v>
          </cell>
          <cell r="H43">
            <v>132927.499379345</v>
          </cell>
        </row>
        <row r="44">
          <cell r="G44">
            <v>146640</v>
          </cell>
          <cell r="H44">
            <v>132794.955549728</v>
          </cell>
        </row>
        <row r="45">
          <cell r="G45">
            <v>142290</v>
          </cell>
          <cell r="H45">
            <v>133312.828449259</v>
          </cell>
        </row>
        <row r="46">
          <cell r="G46">
            <v>136360</v>
          </cell>
          <cell r="H46">
            <v>134527.914399328</v>
          </cell>
        </row>
        <row r="47">
          <cell r="G47">
            <v>129846.666666667</v>
          </cell>
          <cell r="H47">
            <v>136031.534500322</v>
          </cell>
        </row>
        <row r="48">
          <cell r="G48">
            <v>126686.666666667</v>
          </cell>
          <cell r="H48">
            <v>137390.831391812</v>
          </cell>
        </row>
        <row r="49">
          <cell r="G49">
            <v>126130</v>
          </cell>
          <cell r="H49">
            <v>138110.801149808</v>
          </cell>
        </row>
        <row r="50">
          <cell r="G50">
            <v>123280</v>
          </cell>
          <cell r="H50">
            <v>138477.061733853</v>
          </cell>
        </row>
        <row r="51">
          <cell r="G51">
            <v>124246.666666667</v>
          </cell>
          <cell r="H51">
            <v>138625.40657564</v>
          </cell>
        </row>
        <row r="52">
          <cell r="G52">
            <v>126893.333333333</v>
          </cell>
          <cell r="H52">
            <v>138375.22026896</v>
          </cell>
        </row>
        <row r="53">
          <cell r="G53">
            <v>133586.666666667</v>
          </cell>
          <cell r="H53">
            <v>138235.687719438</v>
          </cell>
        </row>
        <row r="54">
          <cell r="G54">
            <v>135496.666666667</v>
          </cell>
          <cell r="H54">
            <v>138832.462700294</v>
          </cell>
        </row>
        <row r="55">
          <cell r="G55">
            <v>137906.666666667</v>
          </cell>
          <cell r="H55">
            <v>140099.994539538</v>
          </cell>
        </row>
        <row r="56">
          <cell r="G56">
            <v>137060</v>
          </cell>
          <cell r="H56">
            <v>141251.596871573</v>
          </cell>
        </row>
        <row r="57">
          <cell r="G57">
            <v>137756.666666667</v>
          </cell>
          <cell r="H57">
            <v>141858.782234482</v>
          </cell>
        </row>
        <row r="58">
          <cell r="G58">
            <v>135886.666666667</v>
          </cell>
          <cell r="H58">
            <v>142184.539957048</v>
          </cell>
        </row>
        <row r="59">
          <cell r="G59">
            <v>133803.333333333</v>
          </cell>
          <cell r="H59">
            <v>143182.496056785</v>
          </cell>
        </row>
        <row r="60">
          <cell r="G60">
            <v>145486.666666667</v>
          </cell>
          <cell r="H60">
            <v>143937.672678427</v>
          </cell>
        </row>
        <row r="61">
          <cell r="G61">
            <v>165623.333333333</v>
          </cell>
          <cell r="H61">
            <v>145097.587018806</v>
          </cell>
        </row>
        <row r="62">
          <cell r="G62">
            <v>185973.333333333</v>
          </cell>
          <cell r="H62">
            <v>145717.380874943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Q121"/>
  <sheetViews>
    <sheetView tabSelected="1" topLeftCell="A73" workbookViewId="0">
      <selection activeCell="L94" sqref="L94"/>
    </sheetView>
  </sheetViews>
  <sheetFormatPr defaultColWidth="12.6285714285714" defaultRowHeight="15.75" customHeight="1"/>
  <cols>
    <col min="1" max="1" width="5.14285714285714" style="1" customWidth="1"/>
    <col min="2" max="17" width="12.8571428571429" style="1"/>
    <col min="18" max="16384" width="12.6285714285714" style="1"/>
  </cols>
  <sheetData>
    <row r="1" s="1" customFormat="1" customHeight="1" spans="2:9">
      <c r="B1" s="2" t="s">
        <v>0</v>
      </c>
      <c r="G1" s="2" t="s">
        <v>1</v>
      </c>
      <c r="I1" s="2">
        <v>3</v>
      </c>
    </row>
    <row r="2" s="1" customFormat="1" customHeight="1" spans="8:8">
      <c r="H2" s="2" t="s">
        <v>2</v>
      </c>
    </row>
    <row r="3" s="1" customFormat="1" customHeight="1" spans="2:17">
      <c r="B3" s="3" t="s">
        <v>3</v>
      </c>
      <c r="C3" s="3" t="s">
        <v>4</v>
      </c>
      <c r="D3" s="3" t="s">
        <v>5</v>
      </c>
      <c r="E3" s="3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  <c r="Q3" s="4" t="s">
        <v>18</v>
      </c>
    </row>
    <row r="4" s="1" customFormat="1" customHeight="1" spans="2:17">
      <c r="B4" s="3">
        <v>1</v>
      </c>
      <c r="C4" s="3">
        <v>213</v>
      </c>
      <c r="D4" s="3">
        <v>139200</v>
      </c>
      <c r="E4" s="3">
        <v>57650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 s="1" customFormat="1" customHeight="1" spans="2:17">
      <c r="B5" s="3">
        <v>2</v>
      </c>
      <c r="C5" s="3">
        <v>215</v>
      </c>
      <c r="D5" s="3">
        <v>135660</v>
      </c>
      <c r="E5" s="3">
        <v>57750</v>
      </c>
      <c r="F5" s="4" t="s">
        <v>19</v>
      </c>
      <c r="G5" s="5">
        <f t="shared" ref="G5:G26" si="0">AVERAGE(C4:C6)</f>
        <v>214.666666666667</v>
      </c>
      <c r="H5" s="4">
        <f t="shared" ref="H5:H26" si="1">AVERAGE(D4:D6)</f>
        <v>139913.333333333</v>
      </c>
      <c r="I5" s="4">
        <f t="shared" ref="I5:I26" si="2">AVERAGE(E4:E6)</f>
        <v>57783.3333333333</v>
      </c>
      <c r="J5" s="4">
        <f t="shared" ref="J5:L5" si="3">LN(G5)</f>
        <v>5.36908643743624</v>
      </c>
      <c r="K5" s="5">
        <f t="shared" si="3"/>
        <v>11.8487784622833</v>
      </c>
      <c r="L5" s="4">
        <f t="shared" si="3"/>
        <v>10.9644556624451</v>
      </c>
      <c r="M5" s="4">
        <f t="shared" ref="M5:M26" si="4">L5*L5</f>
        <v>120.219287973724</v>
      </c>
      <c r="N5" s="4">
        <f t="shared" ref="N5:N26" si="5">J5*J5</f>
        <v>28.8270891726618</v>
      </c>
      <c r="O5" s="4">
        <f t="shared" ref="O5:O26" si="6">L5*J5</f>
        <v>58.8691101911048</v>
      </c>
      <c r="P5" s="4">
        <f t="shared" ref="P5:P26" si="7">K5*L5</f>
        <v>129.915406103839</v>
      </c>
      <c r="Q5" s="4">
        <f t="shared" ref="Q5:Q26" si="8">K5*J5</f>
        <v>63.617115742032</v>
      </c>
    </row>
    <row r="6" s="1" customFormat="1" customHeight="1" spans="2:17">
      <c r="B6" s="3">
        <v>3</v>
      </c>
      <c r="C6" s="3">
        <v>216</v>
      </c>
      <c r="D6" s="3">
        <v>144880</v>
      </c>
      <c r="E6" s="3">
        <v>57950</v>
      </c>
      <c r="F6" s="4" t="s">
        <v>20</v>
      </c>
      <c r="G6" s="4">
        <f t="shared" si="0"/>
        <v>215.666666666667</v>
      </c>
      <c r="H6" s="4">
        <f t="shared" si="1"/>
        <v>142933.333333333</v>
      </c>
      <c r="I6" s="4">
        <f t="shared" si="2"/>
        <v>55233.3333333333</v>
      </c>
      <c r="J6" s="4">
        <f t="shared" ref="J6:L6" si="9">LN(G6)</f>
        <v>5.37373400583279</v>
      </c>
      <c r="K6" s="4">
        <f t="shared" si="9"/>
        <v>11.8701336000706</v>
      </c>
      <c r="L6" s="4">
        <f t="shared" si="9"/>
        <v>10.9193219147465</v>
      </c>
      <c r="M6" s="4">
        <f t="shared" si="4"/>
        <v>119.231591077864</v>
      </c>
      <c r="N6" s="4">
        <f t="shared" si="5"/>
        <v>28.8770171654437</v>
      </c>
      <c r="O6" s="4">
        <f t="shared" si="6"/>
        <v>58.6775314939087</v>
      </c>
      <c r="P6" s="4">
        <f t="shared" si="7"/>
        <v>129.61380995022</v>
      </c>
      <c r="Q6" s="4">
        <f t="shared" si="8"/>
        <v>63.7869405804779</v>
      </c>
    </row>
    <row r="7" s="1" customFormat="1" customHeight="1" spans="2:17">
      <c r="B7" s="3">
        <v>4</v>
      </c>
      <c r="C7" s="3">
        <v>216</v>
      </c>
      <c r="D7" s="3">
        <v>148260</v>
      </c>
      <c r="E7" s="3">
        <v>50000</v>
      </c>
      <c r="F7" s="4" t="s">
        <v>21</v>
      </c>
      <c r="G7" s="4">
        <f t="shared" si="0"/>
        <v>216.333333333333</v>
      </c>
      <c r="H7" s="4">
        <f t="shared" si="1"/>
        <v>145280</v>
      </c>
      <c r="I7" s="4">
        <f t="shared" si="2"/>
        <v>52650</v>
      </c>
      <c r="J7" s="4">
        <f t="shared" ref="J7:L7" si="10">LN(G7)</f>
        <v>5.37682042803598</v>
      </c>
      <c r="K7" s="4">
        <f t="shared" si="10"/>
        <v>11.8864181938351</v>
      </c>
      <c r="L7" s="4">
        <f t="shared" si="10"/>
        <v>10.8714215175621</v>
      </c>
      <c r="M7" s="4">
        <f t="shared" si="4"/>
        <v>118.187805812513</v>
      </c>
      <c r="N7" s="4">
        <f t="shared" si="5"/>
        <v>28.910197915345</v>
      </c>
      <c r="O7" s="4">
        <f t="shared" si="6"/>
        <v>58.4536812974179</v>
      </c>
      <c r="P7" s="4">
        <f t="shared" si="7"/>
        <v>129.222262519201</v>
      </c>
      <c r="Q7" s="4">
        <f t="shared" si="8"/>
        <v>63.9111361607912</v>
      </c>
    </row>
    <row r="8" s="1" customFormat="1" customHeight="1" spans="2:17">
      <c r="B8" s="3">
        <v>5</v>
      </c>
      <c r="C8" s="3">
        <v>217</v>
      </c>
      <c r="D8" s="3">
        <v>142700</v>
      </c>
      <c r="E8" s="3">
        <v>50000</v>
      </c>
      <c r="F8" s="4" t="s">
        <v>22</v>
      </c>
      <c r="G8" s="4">
        <f t="shared" si="0"/>
        <v>216.666666666667</v>
      </c>
      <c r="H8" s="4">
        <f t="shared" si="1"/>
        <v>146640</v>
      </c>
      <c r="I8" s="4">
        <f t="shared" si="2"/>
        <v>50333.3333333333</v>
      </c>
      <c r="J8" s="4">
        <f t="shared" ref="J8:L8" si="11">LN(G8)</f>
        <v>5.37836007422157</v>
      </c>
      <c r="K8" s="4">
        <f t="shared" si="11"/>
        <v>11.8957358825136</v>
      </c>
      <c r="L8" s="4">
        <f t="shared" si="11"/>
        <v>10.826422827129</v>
      </c>
      <c r="M8" s="4">
        <f t="shared" si="4"/>
        <v>117.211431231779</v>
      </c>
      <c r="N8" s="4">
        <f t="shared" si="5"/>
        <v>28.9267570879807</v>
      </c>
      <c r="O8" s="4">
        <f t="shared" si="6"/>
        <v>58.2284002800714</v>
      </c>
      <c r="P8" s="4">
        <f t="shared" si="7"/>
        <v>128.788266503942</v>
      </c>
      <c r="Q8" s="4">
        <f t="shared" si="8"/>
        <v>63.979550923996</v>
      </c>
    </row>
    <row r="9" s="1" customFormat="1" customHeight="1" spans="2:17">
      <c r="B9" s="3">
        <v>6</v>
      </c>
      <c r="C9" s="3">
        <v>217</v>
      </c>
      <c r="D9" s="3">
        <v>148960</v>
      </c>
      <c r="E9" s="3">
        <v>51000</v>
      </c>
      <c r="F9" s="4" t="s">
        <v>23</v>
      </c>
      <c r="G9" s="4">
        <f t="shared" si="0"/>
        <v>217.333333333333</v>
      </c>
      <c r="H9" s="4">
        <f t="shared" si="1"/>
        <v>142290</v>
      </c>
      <c r="I9" s="4">
        <f t="shared" si="2"/>
        <v>53166.6666666667</v>
      </c>
      <c r="J9" s="4">
        <f t="shared" ref="J9:L9" si="12">LN(G9)</f>
        <v>5.38143227325854</v>
      </c>
      <c r="K9" s="4">
        <f t="shared" si="12"/>
        <v>11.8656225075397</v>
      </c>
      <c r="L9" s="4">
        <f t="shared" si="12"/>
        <v>10.8811869125389</v>
      </c>
      <c r="M9" s="4">
        <f t="shared" si="4"/>
        <v>118.400228625608</v>
      </c>
      <c r="N9" s="4">
        <f t="shared" si="5"/>
        <v>28.9598133116686</v>
      </c>
      <c r="O9" s="4">
        <f t="shared" si="6"/>
        <v>58.5563704224955</v>
      </c>
      <c r="P9" s="4">
        <f t="shared" si="7"/>
        <v>129.112056338169</v>
      </c>
      <c r="Q9" s="4">
        <f t="shared" si="8"/>
        <v>63.8540439043773</v>
      </c>
    </row>
    <row r="10" s="1" customFormat="1" customHeight="1" spans="2:17">
      <c r="B10" s="3">
        <v>7</v>
      </c>
      <c r="C10" s="3">
        <v>218</v>
      </c>
      <c r="D10" s="3">
        <v>135210</v>
      </c>
      <c r="E10" s="3">
        <v>58500</v>
      </c>
      <c r="F10" s="4" t="s">
        <v>24</v>
      </c>
      <c r="G10" s="4">
        <f t="shared" si="0"/>
        <v>220.333333333333</v>
      </c>
      <c r="H10" s="4">
        <f t="shared" si="1"/>
        <v>136360</v>
      </c>
      <c r="I10" s="4">
        <f t="shared" si="2"/>
        <v>55366.6666666667</v>
      </c>
      <c r="J10" s="4">
        <f t="shared" ref="J10:L10" si="13">LN(G10)</f>
        <v>5.39514155118358</v>
      </c>
      <c r="K10" s="4">
        <f t="shared" si="13"/>
        <v>11.8230537262518</v>
      </c>
      <c r="L10" s="4">
        <f t="shared" si="13"/>
        <v>10.9217330069333</v>
      </c>
      <c r="M10" s="4">
        <f t="shared" si="4"/>
        <v>119.284251874736</v>
      </c>
      <c r="N10" s="4">
        <f t="shared" si="5"/>
        <v>29.1075523573075</v>
      </c>
      <c r="O10" s="4">
        <f t="shared" si="6"/>
        <v>58.9242955566389</v>
      </c>
      <c r="P10" s="4">
        <f t="shared" si="7"/>
        <v>129.12823612475</v>
      </c>
      <c r="Q10" s="4">
        <f t="shared" si="8"/>
        <v>63.7870484203771</v>
      </c>
    </row>
    <row r="11" s="1" customFormat="1" customHeight="1" spans="2:17">
      <c r="B11" s="3">
        <v>8</v>
      </c>
      <c r="C11" s="3">
        <v>226</v>
      </c>
      <c r="D11" s="3">
        <v>124910</v>
      </c>
      <c r="E11" s="3">
        <v>56600</v>
      </c>
      <c r="F11" s="4" t="s">
        <v>25</v>
      </c>
      <c r="G11" s="4">
        <f t="shared" si="0"/>
        <v>224.333333333333</v>
      </c>
      <c r="H11" s="4">
        <f t="shared" si="1"/>
        <v>129846.666666667</v>
      </c>
      <c r="I11" s="4">
        <f t="shared" si="2"/>
        <v>57266.6666666667</v>
      </c>
      <c r="J11" s="4">
        <f t="shared" ref="J11:L11" si="14">LN(G11)</f>
        <v>5.41313304097662</v>
      </c>
      <c r="K11" s="4">
        <f t="shared" si="14"/>
        <v>11.7741095461158</v>
      </c>
      <c r="L11" s="4">
        <f t="shared" si="14"/>
        <v>10.9554739998642</v>
      </c>
      <c r="M11" s="4">
        <f t="shared" si="4"/>
        <v>120.0224105617</v>
      </c>
      <c r="N11" s="4">
        <f t="shared" si="5"/>
        <v>29.3020093193128</v>
      </c>
      <c r="O11" s="4">
        <f t="shared" si="6"/>
        <v>59.3034382882251</v>
      </c>
      <c r="P11" s="4">
        <f t="shared" si="7"/>
        <v>128.990951004024</v>
      </c>
      <c r="Q11" s="4">
        <f t="shared" si="8"/>
        <v>63.7348214121575</v>
      </c>
    </row>
    <row r="12" s="1" customFormat="1" customHeight="1" spans="2:17">
      <c r="B12" s="3">
        <v>9</v>
      </c>
      <c r="C12" s="3">
        <v>229</v>
      </c>
      <c r="D12" s="3">
        <v>129420</v>
      </c>
      <c r="E12" s="3">
        <v>56700</v>
      </c>
      <c r="F12" s="4" t="s">
        <v>26</v>
      </c>
      <c r="G12" s="4">
        <f t="shared" si="0"/>
        <v>228.666666666667</v>
      </c>
      <c r="H12" s="4">
        <f t="shared" si="1"/>
        <v>126686.666666667</v>
      </c>
      <c r="I12" s="4">
        <f t="shared" si="2"/>
        <v>56683.3333333333</v>
      </c>
      <c r="J12" s="4">
        <f t="shared" ref="J12:L12" si="15">LN(G12)</f>
        <v>5.43226533905778</v>
      </c>
      <c r="K12" s="4">
        <f t="shared" si="15"/>
        <v>11.7494721253072</v>
      </c>
      <c r="L12" s="4">
        <f t="shared" si="15"/>
        <v>10.9452355017672</v>
      </c>
      <c r="M12" s="4">
        <f t="shared" si="4"/>
        <v>119.798180189146</v>
      </c>
      <c r="N12" s="4">
        <f t="shared" si="5"/>
        <v>29.5095067139285</v>
      </c>
      <c r="O12" s="4">
        <f t="shared" si="6"/>
        <v>59.4574234440748</v>
      </c>
      <c r="P12" s="4">
        <f t="shared" si="7"/>
        <v>128.600739432937</v>
      </c>
      <c r="Q12" s="4">
        <f t="shared" si="8"/>
        <v>63.826250178532</v>
      </c>
    </row>
    <row r="13" s="1" customFormat="1" customHeight="1" spans="2:17">
      <c r="B13" s="3">
        <v>10</v>
      </c>
      <c r="C13" s="3">
        <v>231</v>
      </c>
      <c r="D13" s="3">
        <v>125730</v>
      </c>
      <c r="E13" s="3">
        <v>56750</v>
      </c>
      <c r="F13" s="4" t="s">
        <v>27</v>
      </c>
      <c r="G13" s="4">
        <f t="shared" si="0"/>
        <v>230.666666666667</v>
      </c>
      <c r="H13" s="4">
        <f t="shared" si="1"/>
        <v>126130</v>
      </c>
      <c r="I13" s="4">
        <f t="shared" si="2"/>
        <v>57400</v>
      </c>
      <c r="J13" s="4">
        <f t="shared" ref="J13:L13" si="16">LN(G13)</f>
        <v>5.44097366694956</v>
      </c>
      <c r="K13" s="4">
        <f t="shared" si="16"/>
        <v>11.7450684000812</v>
      </c>
      <c r="L13" s="4">
        <f t="shared" si="16"/>
        <v>10.9577995823077</v>
      </c>
      <c r="M13" s="4">
        <f t="shared" si="4"/>
        <v>120.073371686022</v>
      </c>
      <c r="N13" s="4">
        <f t="shared" si="5"/>
        <v>29.6041944444385</v>
      </c>
      <c r="O13" s="4">
        <f t="shared" si="6"/>
        <v>59.6210989750469</v>
      </c>
      <c r="P13" s="4">
        <f t="shared" si="7"/>
        <v>128.700105608585</v>
      </c>
      <c r="Q13" s="4">
        <f t="shared" si="8"/>
        <v>63.9046078813634</v>
      </c>
    </row>
    <row r="14" s="1" customFormat="1" customHeight="1" spans="2:17">
      <c r="B14" s="3">
        <v>11</v>
      </c>
      <c r="C14" s="3">
        <v>232</v>
      </c>
      <c r="D14" s="3">
        <v>123240</v>
      </c>
      <c r="E14" s="3">
        <v>58750</v>
      </c>
      <c r="F14" s="4" t="s">
        <v>28</v>
      </c>
      <c r="G14" s="4">
        <f t="shared" si="0"/>
        <v>231.666666666667</v>
      </c>
      <c r="H14" s="4">
        <f t="shared" si="1"/>
        <v>123280</v>
      </c>
      <c r="I14" s="4">
        <f t="shared" si="2"/>
        <v>57833.3333333333</v>
      </c>
      <c r="J14" s="4">
        <f t="shared" ref="J14:L14" si="17">LN(G14)</f>
        <v>5.44529955689668</v>
      </c>
      <c r="K14" s="4">
        <f t="shared" si="17"/>
        <v>11.722213469994</v>
      </c>
      <c r="L14" s="4">
        <f t="shared" si="17"/>
        <v>10.9653205897009</v>
      </c>
      <c r="M14" s="4">
        <f t="shared" si="4"/>
        <v>120.238255634919</v>
      </c>
      <c r="N14" s="4">
        <f t="shared" si="5"/>
        <v>29.6512872643392</v>
      </c>
      <c r="O14" s="4">
        <f t="shared" si="6"/>
        <v>59.7094553483286</v>
      </c>
      <c r="P14" s="4">
        <f t="shared" si="7"/>
        <v>128.537828719395</v>
      </c>
      <c r="Q14" s="4">
        <f t="shared" si="8"/>
        <v>63.8309638140066</v>
      </c>
    </row>
    <row r="15" s="1" customFormat="1" customHeight="1" spans="2:17">
      <c r="B15" s="3">
        <v>12</v>
      </c>
      <c r="C15" s="3">
        <v>232</v>
      </c>
      <c r="D15" s="3">
        <v>120870</v>
      </c>
      <c r="E15" s="3">
        <v>58000</v>
      </c>
      <c r="F15" s="4" t="s">
        <v>29</v>
      </c>
      <c r="G15" s="4">
        <f t="shared" si="0"/>
        <v>232</v>
      </c>
      <c r="H15" s="4">
        <f t="shared" si="1"/>
        <v>124246.666666667</v>
      </c>
      <c r="I15" s="4">
        <f t="shared" si="2"/>
        <v>58250</v>
      </c>
      <c r="J15" s="4">
        <f t="shared" ref="J15:L15" si="18">LN(G15)</f>
        <v>5.44673737166631</v>
      </c>
      <c r="K15" s="4">
        <f t="shared" si="18"/>
        <v>11.7300241159665</v>
      </c>
      <c r="L15" s="4">
        <f t="shared" si="18"/>
        <v>10.9724993714279</v>
      </c>
      <c r="M15" s="4">
        <f t="shared" si="4"/>
        <v>120.395742455987</v>
      </c>
      <c r="N15" s="4">
        <f t="shared" si="5"/>
        <v>29.6669479959064</v>
      </c>
      <c r="O15" s="4">
        <f t="shared" si="6"/>
        <v>59.7643223869417</v>
      </c>
      <c r="P15" s="4">
        <f t="shared" si="7"/>
        <v>128.707682239278</v>
      </c>
      <c r="Q15" s="4">
        <f t="shared" si="8"/>
        <v>63.8903607229821</v>
      </c>
    </row>
    <row r="16" s="1" customFormat="1" customHeight="1" spans="2:17">
      <c r="B16" s="3">
        <v>13</v>
      </c>
      <c r="C16" s="3">
        <v>232</v>
      </c>
      <c r="D16" s="3">
        <v>128630</v>
      </c>
      <c r="E16" s="3">
        <v>58000</v>
      </c>
      <c r="F16" s="4" t="s">
        <v>30</v>
      </c>
      <c r="G16" s="4">
        <f t="shared" si="0"/>
        <v>232.333333333333</v>
      </c>
      <c r="H16" s="4">
        <f t="shared" si="1"/>
        <v>126893.333333333</v>
      </c>
      <c r="I16" s="4">
        <f t="shared" si="2"/>
        <v>54666.6666666667</v>
      </c>
      <c r="J16" s="4">
        <f t="shared" ref="J16:L16" si="19">LN(G16)</f>
        <v>5.44817312209241</v>
      </c>
      <c r="K16" s="4">
        <f t="shared" si="19"/>
        <v>11.7511021175182</v>
      </c>
      <c r="L16" s="4">
        <f t="shared" si="19"/>
        <v>10.9090094181382</v>
      </c>
      <c r="M16" s="4">
        <f t="shared" si="4"/>
        <v>119.006486485029</v>
      </c>
      <c r="N16" s="4">
        <f t="shared" si="5"/>
        <v>29.6825903682902</v>
      </c>
      <c r="O16" s="4">
        <f t="shared" si="6"/>
        <v>59.4341719005537</v>
      </c>
      <c r="P16" s="4">
        <f t="shared" si="7"/>
        <v>128.19288367351</v>
      </c>
      <c r="Q16" s="4">
        <f t="shared" si="8"/>
        <v>64.0220387116258</v>
      </c>
    </row>
    <row r="17" s="1" customFormat="1" customHeight="1" spans="2:17">
      <c r="B17" s="3">
        <v>14</v>
      </c>
      <c r="C17" s="3">
        <v>233</v>
      </c>
      <c r="D17" s="3">
        <v>131180</v>
      </c>
      <c r="E17" s="3">
        <v>48000</v>
      </c>
      <c r="F17" s="4" t="s">
        <v>31</v>
      </c>
      <c r="G17" s="4">
        <f t="shared" si="0"/>
        <v>233</v>
      </c>
      <c r="H17" s="4">
        <f t="shared" si="1"/>
        <v>133586.666666667</v>
      </c>
      <c r="I17" s="4">
        <f t="shared" si="2"/>
        <v>51333.3333333333</v>
      </c>
      <c r="J17" s="4">
        <f t="shared" ref="J17:L17" si="20">LN(G17)</f>
        <v>5.4510384535657</v>
      </c>
      <c r="K17" s="4">
        <f t="shared" si="20"/>
        <v>11.8025057347051</v>
      </c>
      <c r="L17" s="4">
        <f t="shared" si="20"/>
        <v>10.8460955927277</v>
      </c>
      <c r="M17" s="4">
        <f t="shared" si="4"/>
        <v>117.637789606586</v>
      </c>
      <c r="N17" s="4">
        <f t="shared" si="5"/>
        <v>29.7138202222519</v>
      </c>
      <c r="O17" s="4">
        <f t="shared" si="6"/>
        <v>59.1224841470079</v>
      </c>
      <c r="P17" s="4">
        <f t="shared" si="7"/>
        <v>128.011105432328</v>
      </c>
      <c r="Q17" s="4">
        <f t="shared" si="8"/>
        <v>64.3359126083071</v>
      </c>
    </row>
    <row r="18" s="1" customFormat="1" customHeight="1" spans="2:17">
      <c r="B18" s="3">
        <v>15</v>
      </c>
      <c r="C18" s="3">
        <v>234</v>
      </c>
      <c r="D18" s="3">
        <v>140950</v>
      </c>
      <c r="E18" s="3">
        <v>48000</v>
      </c>
      <c r="F18" s="4" t="s">
        <v>32</v>
      </c>
      <c r="G18" s="4">
        <f t="shared" si="0"/>
        <v>236</v>
      </c>
      <c r="H18" s="4">
        <f t="shared" si="1"/>
        <v>135496.666666667</v>
      </c>
      <c r="I18" s="4">
        <f t="shared" si="2"/>
        <v>48133.3333333333</v>
      </c>
      <c r="J18" s="4">
        <f t="shared" ref="J18:L18" si="21">LN(G18)</f>
        <v>5.46383180502561</v>
      </c>
      <c r="K18" s="4">
        <f t="shared" si="21"/>
        <v>11.8167023187533</v>
      </c>
      <c r="L18" s="4">
        <f t="shared" si="21"/>
        <v>10.7817302167728</v>
      </c>
      <c r="M18" s="4">
        <f t="shared" si="4"/>
        <v>116.245706467271</v>
      </c>
      <c r="N18" s="4">
        <f t="shared" si="5"/>
        <v>29.8534579936094</v>
      </c>
      <c r="O18" s="4">
        <f t="shared" si="6"/>
        <v>58.9095604716086</v>
      </c>
      <c r="P18" s="4">
        <f t="shared" si="7"/>
        <v>127.404496452711</v>
      </c>
      <c r="Q18" s="4">
        <f t="shared" si="8"/>
        <v>64.5644739597242</v>
      </c>
    </row>
    <row r="19" s="1" customFormat="1" customHeight="1" spans="2:17">
      <c r="B19" s="3">
        <v>16</v>
      </c>
      <c r="C19" s="3">
        <v>241</v>
      </c>
      <c r="D19" s="3">
        <v>134360</v>
      </c>
      <c r="E19" s="3">
        <v>48400</v>
      </c>
      <c r="F19" s="4" t="s">
        <v>33</v>
      </c>
      <c r="G19" s="4">
        <f t="shared" si="0"/>
        <v>239.333333333333</v>
      </c>
      <c r="H19" s="4">
        <f t="shared" si="1"/>
        <v>137906.666666667</v>
      </c>
      <c r="I19" s="4">
        <f t="shared" si="2"/>
        <v>49933.3333333333</v>
      </c>
      <c r="J19" s="4">
        <f t="shared" ref="J19:L19" si="22">LN(G19)</f>
        <v>5.47785728038011</v>
      </c>
      <c r="K19" s="4">
        <f t="shared" si="22"/>
        <v>11.8343324068236</v>
      </c>
      <c r="L19" s="4">
        <f t="shared" si="22"/>
        <v>10.8184440613971</v>
      </c>
      <c r="M19" s="4">
        <f t="shared" si="4"/>
        <v>117.038731909579</v>
      </c>
      <c r="N19" s="4">
        <f t="shared" si="5"/>
        <v>30.0069203842134</v>
      </c>
      <c r="O19" s="4">
        <f t="shared" si="6"/>
        <v>59.2618925641094</v>
      </c>
      <c r="P19" s="4">
        <f t="shared" si="7"/>
        <v>128.029063147201</v>
      </c>
      <c r="Q19" s="4">
        <f t="shared" si="8"/>
        <v>64.8267839331572</v>
      </c>
    </row>
    <row r="20" s="1" customFormat="1" customHeight="1" spans="2:17">
      <c r="B20" s="3">
        <v>17</v>
      </c>
      <c r="C20" s="3">
        <v>243</v>
      </c>
      <c r="D20" s="3">
        <v>138410</v>
      </c>
      <c r="E20" s="3">
        <v>53400</v>
      </c>
      <c r="F20" s="4" t="s">
        <v>34</v>
      </c>
      <c r="G20" s="4">
        <f t="shared" si="0"/>
        <v>242.333333333333</v>
      </c>
      <c r="H20" s="4">
        <f t="shared" si="1"/>
        <v>137060</v>
      </c>
      <c r="I20" s="4">
        <f t="shared" si="2"/>
        <v>51733.3333333333</v>
      </c>
      <c r="J20" s="4">
        <f t="shared" ref="J20:L20" si="23">LN(G20)</f>
        <v>5.49031418886541</v>
      </c>
      <c r="K20" s="4">
        <f t="shared" si="23"/>
        <v>11.8281740651398</v>
      </c>
      <c r="L20" s="4">
        <f t="shared" si="23"/>
        <v>10.8538575980631</v>
      </c>
      <c r="M20" s="4">
        <f t="shared" si="4"/>
        <v>117.806224759033</v>
      </c>
      <c r="N20" s="4">
        <f t="shared" si="5"/>
        <v>30.1435498924568</v>
      </c>
      <c r="O20" s="4">
        <f t="shared" si="6"/>
        <v>59.5910883745707</v>
      </c>
      <c r="P20" s="4">
        <f t="shared" si="7"/>
        <v>128.381316948131</v>
      </c>
      <c r="Q20" s="4">
        <f t="shared" si="8"/>
        <v>64.940391898207</v>
      </c>
    </row>
    <row r="21" s="1" customFormat="1" customHeight="1" spans="2:17">
      <c r="B21" s="3">
        <v>18</v>
      </c>
      <c r="C21" s="3">
        <v>243</v>
      </c>
      <c r="D21" s="3">
        <v>138410</v>
      </c>
      <c r="E21" s="3">
        <v>53400</v>
      </c>
      <c r="F21" s="4" t="s">
        <v>35</v>
      </c>
      <c r="G21" s="4">
        <f t="shared" si="0"/>
        <v>243.666666666667</v>
      </c>
      <c r="H21" s="4">
        <f t="shared" si="1"/>
        <v>137756.666666667</v>
      </c>
      <c r="I21" s="4">
        <f t="shared" si="2"/>
        <v>53436.6666666667</v>
      </c>
      <c r="J21" s="4">
        <f t="shared" ref="J21:L21" si="24">LN(G21)</f>
        <v>5.49580117108167</v>
      </c>
      <c r="K21" s="4">
        <f t="shared" si="24"/>
        <v>11.8332441226983</v>
      </c>
      <c r="L21" s="5">
        <f t="shared" si="24"/>
        <v>10.8862524310156</v>
      </c>
      <c r="M21" s="4">
        <f t="shared" si="4"/>
        <v>118.510491991793</v>
      </c>
      <c r="N21" s="4">
        <f t="shared" si="5"/>
        <v>30.2038305120626</v>
      </c>
      <c r="O21" s="4">
        <f t="shared" si="6"/>
        <v>59.8286788590663</v>
      </c>
      <c r="P21" s="4">
        <f t="shared" si="7"/>
        <v>128.819682597525</v>
      </c>
      <c r="Q21" s="4">
        <f t="shared" si="8"/>
        <v>65.0331569072205</v>
      </c>
    </row>
    <row r="22" s="1" customFormat="1" customHeight="1" spans="2:17">
      <c r="B22" s="3">
        <v>19</v>
      </c>
      <c r="C22" s="3">
        <v>245</v>
      </c>
      <c r="D22" s="3">
        <v>136450</v>
      </c>
      <c r="E22" s="3">
        <v>53510</v>
      </c>
      <c r="F22" s="4" t="s">
        <v>36</v>
      </c>
      <c r="G22" s="4">
        <f t="shared" si="0"/>
        <v>244.666666666667</v>
      </c>
      <c r="H22" s="4">
        <f t="shared" si="1"/>
        <v>135886.666666667</v>
      </c>
      <c r="I22" s="4">
        <f t="shared" si="2"/>
        <v>53536.6666666667</v>
      </c>
      <c r="J22" s="4">
        <f t="shared" ref="J22:L22" si="25">LN(G22)</f>
        <v>5.49989673994641</v>
      </c>
      <c r="K22" s="4">
        <f t="shared" si="25"/>
        <v>11.8195764839696</v>
      </c>
      <c r="L22" s="4">
        <f t="shared" si="25"/>
        <v>10.8881220563888</v>
      </c>
      <c r="M22" s="4">
        <f t="shared" si="4"/>
        <v>118.551201914821</v>
      </c>
      <c r="N22" s="4">
        <f t="shared" si="5"/>
        <v>30.2488641500731</v>
      </c>
      <c r="O22" s="4">
        <f t="shared" si="6"/>
        <v>59.8835470020715</v>
      </c>
      <c r="P22" s="4">
        <f t="shared" si="7"/>
        <v>128.692991412284</v>
      </c>
      <c r="Q22" s="4">
        <f t="shared" si="8"/>
        <v>65.0064501717317</v>
      </c>
    </row>
    <row r="23" s="1" customFormat="1" customHeight="1" spans="2:17">
      <c r="B23" s="3">
        <v>20</v>
      </c>
      <c r="C23" s="3">
        <v>246</v>
      </c>
      <c r="D23" s="3">
        <v>132800</v>
      </c>
      <c r="E23" s="3">
        <v>53700</v>
      </c>
      <c r="F23" s="4" t="s">
        <v>37</v>
      </c>
      <c r="G23" s="4">
        <f t="shared" si="0"/>
        <v>247.333333333333</v>
      </c>
      <c r="H23" s="4">
        <f t="shared" si="1"/>
        <v>133803.333333333</v>
      </c>
      <c r="I23" s="4">
        <f t="shared" si="2"/>
        <v>55036.6666666667</v>
      </c>
      <c r="J23" s="4">
        <f t="shared" ref="J23:L23" si="26">LN(G23)</f>
        <v>5.51073695449927</v>
      </c>
      <c r="K23" s="4">
        <f t="shared" si="26"/>
        <v>11.8041263391711</v>
      </c>
      <c r="L23" s="4">
        <f t="shared" si="26"/>
        <v>10.9157549087578</v>
      </c>
      <c r="M23" s="4">
        <f t="shared" si="4"/>
        <v>119.153705228069</v>
      </c>
      <c r="N23" s="4">
        <f t="shared" si="5"/>
        <v>30.3682217816839</v>
      </c>
      <c r="O23" s="4">
        <f t="shared" si="6"/>
        <v>60.1538539619483</v>
      </c>
      <c r="P23" s="4">
        <f t="shared" si="7"/>
        <v>128.850950030404</v>
      </c>
      <c r="Q23" s="4">
        <f t="shared" si="8"/>
        <v>65.0494352328485</v>
      </c>
    </row>
    <row r="24" s="1" customFormat="1" customHeight="1" spans="2:17">
      <c r="B24" s="3">
        <v>21</v>
      </c>
      <c r="C24" s="3">
        <v>251</v>
      </c>
      <c r="D24" s="3">
        <v>132160</v>
      </c>
      <c r="E24" s="3">
        <v>57900</v>
      </c>
      <c r="F24" s="4" t="s">
        <v>38</v>
      </c>
      <c r="G24" s="4">
        <f t="shared" si="0"/>
        <v>249.333333333333</v>
      </c>
      <c r="H24" s="4">
        <f t="shared" si="1"/>
        <v>145486.666666667</v>
      </c>
      <c r="I24" s="4">
        <f t="shared" si="2"/>
        <v>56266.6666666667</v>
      </c>
      <c r="J24" s="4">
        <f t="shared" ref="J24:L24" si="27">LN(G24)</f>
        <v>5.51879068930637</v>
      </c>
      <c r="K24" s="4">
        <f t="shared" si="27"/>
        <v>11.8878397233649</v>
      </c>
      <c r="L24" s="4">
        <f t="shared" si="27"/>
        <v>10.9378575724759</v>
      </c>
      <c r="M24" s="4">
        <f t="shared" si="4"/>
        <v>119.636728275768</v>
      </c>
      <c r="N24" s="4">
        <f t="shared" si="5"/>
        <v>30.4570506723747</v>
      </c>
      <c r="O24" s="4">
        <f t="shared" si="6"/>
        <v>60.3637465319391</v>
      </c>
      <c r="P24" s="4">
        <f t="shared" si="7"/>
        <v>130.027497738586</v>
      </c>
      <c r="Q24" s="4">
        <f t="shared" si="8"/>
        <v>65.6064991812725</v>
      </c>
    </row>
    <row r="25" s="1" customFormat="1" customHeight="1" spans="2:17">
      <c r="B25" s="3">
        <v>22</v>
      </c>
      <c r="C25" s="3">
        <v>251</v>
      </c>
      <c r="D25" s="3">
        <v>171500</v>
      </c>
      <c r="E25" s="3">
        <v>57200</v>
      </c>
      <c r="F25" s="4" t="s">
        <v>39</v>
      </c>
      <c r="G25" s="4">
        <f t="shared" si="0"/>
        <v>252.666666666667</v>
      </c>
      <c r="H25" s="4">
        <f t="shared" si="1"/>
        <v>165623.333333333</v>
      </c>
      <c r="I25" s="4">
        <f t="shared" si="2"/>
        <v>57433.3333333333</v>
      </c>
      <c r="J25" s="4">
        <f t="shared" ref="J25:L25" si="28">LN(G25)</f>
        <v>5.53207109697426</v>
      </c>
      <c r="K25" s="4">
        <f t="shared" si="28"/>
        <v>12.0174714127789</v>
      </c>
      <c r="L25" s="4">
        <f t="shared" si="28"/>
        <v>10.9583801338479</v>
      </c>
      <c r="M25" s="4">
        <f t="shared" si="4"/>
        <v>120.086095157913</v>
      </c>
      <c r="N25" s="4">
        <f t="shared" si="5"/>
        <v>30.603810621978</v>
      </c>
      <c r="O25" s="4">
        <f t="shared" si="6"/>
        <v>60.622538008117</v>
      </c>
      <c r="P25" s="4">
        <f t="shared" si="7"/>
        <v>131.692019988882</v>
      </c>
      <c r="Q25" s="4">
        <f t="shared" si="8"/>
        <v>66.4815062613487</v>
      </c>
    </row>
    <row r="26" s="1" customFormat="1" customHeight="1" spans="2:17">
      <c r="B26" s="3">
        <v>23</v>
      </c>
      <c r="C26" s="3">
        <v>256</v>
      </c>
      <c r="D26" s="3">
        <v>193210</v>
      </c>
      <c r="E26" s="3">
        <v>57200</v>
      </c>
      <c r="F26" s="4" t="s">
        <v>40</v>
      </c>
      <c r="G26" s="4">
        <f t="shared" si="0"/>
        <v>254.333333333333</v>
      </c>
      <c r="H26" s="4">
        <f t="shared" si="1"/>
        <v>185973.333333333</v>
      </c>
      <c r="I26" s="4">
        <f t="shared" si="2"/>
        <v>58433.3333333333</v>
      </c>
      <c r="J26" s="4">
        <f t="shared" ref="J26:L26" si="29">LN(G26)</f>
        <v>5.53864574261635</v>
      </c>
      <c r="K26" s="4">
        <f t="shared" si="29"/>
        <v>12.1333585732414</v>
      </c>
      <c r="L26" s="4">
        <f t="shared" si="29"/>
        <v>10.9756417822412</v>
      </c>
      <c r="M26" s="4">
        <f t="shared" si="4"/>
        <v>120.464712532079</v>
      </c>
      <c r="N26" s="4">
        <f t="shared" si="5"/>
        <v>30.6765966622022</v>
      </c>
      <c r="O26" s="4">
        <f t="shared" si="6"/>
        <v>60.7901916296924</v>
      </c>
      <c r="P26" s="4">
        <f t="shared" si="7"/>
        <v>133.171397315383</v>
      </c>
      <c r="Q26" s="4">
        <f t="shared" si="8"/>
        <v>67.2023748053209</v>
      </c>
    </row>
    <row r="27" s="1" customFormat="1" customHeight="1" spans="2:17">
      <c r="B27" s="3">
        <v>24</v>
      </c>
      <c r="C27" s="3">
        <v>256</v>
      </c>
      <c r="D27" s="3">
        <v>193210</v>
      </c>
      <c r="E27" s="3">
        <v>60900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</row>
    <row r="28" s="1" customFormat="1" customHeight="1" spans="3:17">
      <c r="C28" s="2"/>
      <c r="D28" s="2"/>
      <c r="E28" s="2"/>
      <c r="G28" s="6">
        <f>AVERAGE(G5:G26)</f>
        <v>232.878787878788</v>
      </c>
      <c r="H28" s="6">
        <f>AVERAGE(H5:H26)</f>
        <v>139049.090909091</v>
      </c>
      <c r="I28" s="6">
        <f>AVERAGE(I5:I26)</f>
        <v>54632.2727272727</v>
      </c>
      <c r="J28" s="14">
        <f>SUM(J5:J26)</f>
        <v>119.880140989869</v>
      </c>
      <c r="K28" s="15">
        <f t="shared" ref="J28:Q28" si="30">SUM(K5:K26)</f>
        <v>260.439063328123</v>
      </c>
      <c r="L28" s="14">
        <f>SUM(L5:L26)</f>
        <v>239.952016658249</v>
      </c>
      <c r="M28" s="15">
        <f t="shared" si="30"/>
        <v>2617.20043145194</v>
      </c>
      <c r="N28" s="15">
        <f t="shared" si="30"/>
        <v>653.301086009529</v>
      </c>
      <c r="O28" s="15">
        <f t="shared" si="30"/>
        <v>1307.52688113494</v>
      </c>
      <c r="P28" s="15">
        <f t="shared" si="30"/>
        <v>2840.59074928129</v>
      </c>
      <c r="Q28" s="15">
        <f t="shared" si="30"/>
        <v>1419.19186341186</v>
      </c>
    </row>
    <row r="29" s="1" customFormat="1" customHeight="1" spans="3:9">
      <c r="C29" s="2"/>
      <c r="D29" s="2"/>
      <c r="E29" s="2"/>
      <c r="G29" s="2"/>
      <c r="H29" s="2"/>
      <c r="I29" s="2"/>
    </row>
    <row r="30" s="1" customFormat="1" customHeight="1" spans="3:5">
      <c r="C30" s="2"/>
      <c r="D30" s="2"/>
      <c r="E30" s="2"/>
    </row>
    <row r="39" s="1" customFormat="1" customHeight="1" spans="9:9">
      <c r="I39" s="2" t="s">
        <v>41</v>
      </c>
    </row>
    <row r="41" s="1" customFormat="1" customHeight="1" spans="8:11">
      <c r="H41" s="2"/>
      <c r="I41" s="9">
        <f>$F$60*(I5^$F$61)*(G5^$F$62)</f>
        <v>132874.129428941</v>
      </c>
      <c r="J41" s="9">
        <f>(H5-I41)^2</f>
        <v>49550391.6076063</v>
      </c>
      <c r="K41" s="9">
        <f>(H5-$F$52)^2</f>
        <v>746914.967860435</v>
      </c>
    </row>
    <row r="42" s="1" customFormat="1" customHeight="1" spans="8:11">
      <c r="H42" s="2"/>
      <c r="I42" s="9">
        <f>$F$60*(I6^$F$61)*(G6^$F$62)</f>
        <v>132964.48037232</v>
      </c>
      <c r="J42" s="9">
        <f>(H6-I42)^2</f>
        <v>99378029.358303</v>
      </c>
      <c r="K42" s="9">
        <f>(H6-$F$52)^2</f>
        <v>15087339.2102847</v>
      </c>
    </row>
    <row r="43" s="1" customFormat="1" customHeight="1" spans="8:11">
      <c r="H43" s="2"/>
      <c r="I43" s="9">
        <f>$F$60*(I7^$F$61)*(G7^$F$62)</f>
        <v>132927.499379345</v>
      </c>
      <c r="J43" s="9">
        <f>(H7-I43)^2</f>
        <v>152584271.58327</v>
      </c>
      <c r="K43" s="9">
        <f>(H7-$F$52)^2</f>
        <v>38824228.0991735</v>
      </c>
    </row>
    <row r="44" s="1" customFormat="1" customHeight="1" spans="8:11">
      <c r="H44" s="2"/>
      <c r="I44" s="9">
        <f>$F$60*(I8^$F$61)*(G8^$F$62)</f>
        <v>132794.955549728</v>
      </c>
      <c r="J44" s="9">
        <f>(H8-I44)^2</f>
        <v>191685255.830003</v>
      </c>
      <c r="K44" s="9">
        <f>(H8-$F$52)^2</f>
        <v>57621900.8264462</v>
      </c>
    </row>
    <row r="45" s="1" customFormat="1" customHeight="1" spans="8:11">
      <c r="H45" s="2"/>
      <c r="I45" s="9">
        <f>$F$60*(I9^$F$61)*(G9^$F$62)</f>
        <v>133312.828449259</v>
      </c>
      <c r="J45" s="9">
        <f>(H9-I45)^2</f>
        <v>80589609.0514322</v>
      </c>
      <c r="K45" s="9">
        <f>(H9-$F$52)^2</f>
        <v>10503491.7355372</v>
      </c>
    </row>
    <row r="46" s="1" customFormat="1" customHeight="1" spans="8:11">
      <c r="H46" s="2"/>
      <c r="I46" s="9">
        <f>$F$60*(I10^$F$61)*(G10^$F$62)</f>
        <v>134527.914399328</v>
      </c>
      <c r="J46" s="9">
        <f>(H10-I46)^2</f>
        <v>3356537.64819</v>
      </c>
      <c r="K46" s="9">
        <f>(H10-$F$52)^2</f>
        <v>7231209.91735539</v>
      </c>
    </row>
    <row r="47" s="1" customFormat="1" customHeight="1" spans="8:11">
      <c r="H47" s="2"/>
      <c r="I47" s="9">
        <f>$F$60*(I11^$F$61)*(G11^$F$62)</f>
        <v>136031.534500322</v>
      </c>
      <c r="J47" s="9">
        <f>(H11-I47)^2</f>
        <v>38252590.1197881</v>
      </c>
      <c r="K47" s="9">
        <f>(H11-$F$52)^2</f>
        <v>84684611.9375574</v>
      </c>
    </row>
    <row r="48" s="1" customFormat="1" customHeight="1" spans="2:11">
      <c r="B48" s="7" t="s">
        <v>42</v>
      </c>
      <c r="C48" s="8"/>
      <c r="D48" s="8"/>
      <c r="E48" s="8"/>
      <c r="G48" s="1" t="s">
        <v>43</v>
      </c>
      <c r="H48" s="2"/>
      <c r="I48" s="9">
        <f>$F$60*(I12^$F$61)*(G12^$F$62)</f>
        <v>137390.831391812</v>
      </c>
      <c r="J48" s="9">
        <f>(H12-I48)^2</f>
        <v>114579142.463045</v>
      </c>
      <c r="K48" s="9">
        <f>(H12-$F$52)^2</f>
        <v>152829533.149679</v>
      </c>
    </row>
    <row r="49" s="1" customFormat="1" customHeight="1" spans="2:11">
      <c r="B49" s="7" t="s">
        <v>42</v>
      </c>
      <c r="C49" s="8"/>
      <c r="D49" s="8"/>
      <c r="E49" s="8"/>
      <c r="H49" s="2"/>
      <c r="I49" s="9">
        <f>$F$60*(I13^$F$61)*(G13^$F$62)</f>
        <v>138110.801149808</v>
      </c>
      <c r="J49" s="9">
        <f>(H13-I49)^2</f>
        <v>143539596.191229</v>
      </c>
      <c r="K49" s="9">
        <f>(H13-$F$52)^2</f>
        <v>166902909.917355</v>
      </c>
    </row>
    <row r="50" s="1" customFormat="1" customHeight="1" spans="2:11">
      <c r="B50" s="7" t="s">
        <v>44</v>
      </c>
      <c r="C50" s="8"/>
      <c r="D50" s="8"/>
      <c r="E50" s="8"/>
      <c r="I50" s="9">
        <f t="shared" ref="I50:I62" si="31">$F$60*(I14^$F$61)*(G14^$F$62)</f>
        <v>138477.061733853</v>
      </c>
      <c r="J50" s="9">
        <f t="shared" ref="J50:J62" si="32">(H14-I50)^2</f>
        <v>230950685.342546</v>
      </c>
      <c r="K50" s="9">
        <f t="shared" ref="K50:K62" si="33">(H14-$F$52)^2</f>
        <v>248664228.099174</v>
      </c>
    </row>
    <row r="51" s="1" customFormat="1" customHeight="1" spans="8:11">
      <c r="H51" s="2"/>
      <c r="I51" s="9">
        <f t="shared" si="31"/>
        <v>138625.40657564</v>
      </c>
      <c r="J51" s="9">
        <f t="shared" si="32"/>
        <v>206748161.369911</v>
      </c>
      <c r="K51" s="9">
        <f t="shared" si="33"/>
        <v>219111763.452709</v>
      </c>
    </row>
    <row r="52" s="1" customFormat="1" customHeight="1" spans="2:11">
      <c r="B52" s="9" t="s">
        <v>45</v>
      </c>
      <c r="C52" s="9" t="s">
        <v>46</v>
      </c>
      <c r="E52" s="9" t="s">
        <v>47</v>
      </c>
      <c r="F52" s="9">
        <f>AVERAGE(H5:H26)</f>
        <v>139049.090909091</v>
      </c>
      <c r="H52" s="2"/>
      <c r="I52" s="9">
        <f t="shared" si="31"/>
        <v>138375.22026896</v>
      </c>
      <c r="J52" s="9">
        <f t="shared" si="32"/>
        <v>131833727.602512</v>
      </c>
      <c r="K52" s="9">
        <f t="shared" si="33"/>
        <v>147762442.240588</v>
      </c>
    </row>
    <row r="53" s="1" customFormat="1" customHeight="1" spans="2:11">
      <c r="B53" s="9" t="s">
        <v>48</v>
      </c>
      <c r="C53" s="9" t="s">
        <v>49</v>
      </c>
      <c r="H53" s="2"/>
      <c r="I53" s="9">
        <f t="shared" si="31"/>
        <v>138235.687719438</v>
      </c>
      <c r="J53" s="9">
        <f t="shared" si="32"/>
        <v>21613396.74911</v>
      </c>
      <c r="K53" s="9">
        <f t="shared" si="33"/>
        <v>29838078.6042242</v>
      </c>
    </row>
    <row r="54" s="1" customFormat="1" customHeight="1" spans="2:11">
      <c r="B54" s="9" t="s">
        <v>50</v>
      </c>
      <c r="C54" s="9" t="s">
        <v>51</v>
      </c>
      <c r="H54" s="2"/>
      <c r="I54" s="9">
        <f t="shared" si="31"/>
        <v>138832.462700294</v>
      </c>
      <c r="J54" s="9">
        <f t="shared" si="32"/>
        <v>11127535.1779663</v>
      </c>
      <c r="K54" s="9">
        <f t="shared" si="33"/>
        <v>12619717.9981635</v>
      </c>
    </row>
    <row r="55" s="1" customFormat="1" customHeight="1" spans="8:11">
      <c r="H55" s="2"/>
      <c r="I55" s="9">
        <f t="shared" si="31"/>
        <v>140099.994539538</v>
      </c>
      <c r="J55" s="9">
        <f t="shared" si="32"/>
        <v>4810687.15791531</v>
      </c>
      <c r="K55" s="9">
        <f t="shared" si="33"/>
        <v>1305133.14967863</v>
      </c>
    </row>
    <row r="56" s="1" customFormat="1" customHeight="1" spans="2:11">
      <c r="B56" s="10">
        <v>22</v>
      </c>
      <c r="C56" s="10">
        <f>L28</f>
        <v>239.952016658249</v>
      </c>
      <c r="D56" s="11">
        <f>J28</f>
        <v>119.880140989869</v>
      </c>
      <c r="E56" s="10" t="s">
        <v>52</v>
      </c>
      <c r="F56" s="10">
        <f>K28</f>
        <v>260.439063328123</v>
      </c>
      <c r="H56" s="2"/>
      <c r="I56" s="9">
        <f t="shared" si="31"/>
        <v>141251.596871573</v>
      </c>
      <c r="J56" s="9">
        <f t="shared" si="32"/>
        <v>17569484.3337794</v>
      </c>
      <c r="K56" s="9">
        <f t="shared" si="33"/>
        <v>3956482.64462811</v>
      </c>
    </row>
    <row r="57" s="1" customFormat="1" customHeight="1" spans="2:11">
      <c r="B57" s="10">
        <f>L28</f>
        <v>239.952016658249</v>
      </c>
      <c r="C57" s="10">
        <f>M28</f>
        <v>2617.20043145194</v>
      </c>
      <c r="D57" s="10">
        <f>O28</f>
        <v>1307.52688113494</v>
      </c>
      <c r="E57" s="10" t="s">
        <v>52</v>
      </c>
      <c r="F57" s="10">
        <f>P28</f>
        <v>2840.59074928129</v>
      </c>
      <c r="H57" s="2"/>
      <c r="I57" s="9">
        <f t="shared" si="31"/>
        <v>141858.782234482</v>
      </c>
      <c r="J57" s="9">
        <f t="shared" si="32"/>
        <v>16827352.1317152</v>
      </c>
      <c r="K57" s="9">
        <f t="shared" si="33"/>
        <v>1670360.42240591</v>
      </c>
    </row>
    <row r="58" s="1" customFormat="1" customHeight="1" spans="2:11">
      <c r="B58" s="10">
        <f>J28</f>
        <v>119.880140989869</v>
      </c>
      <c r="C58" s="10">
        <f>O28</f>
        <v>1307.52688113494</v>
      </c>
      <c r="D58" s="10">
        <f>N28</f>
        <v>653.301086009529</v>
      </c>
      <c r="E58" s="10" t="s">
        <v>52</v>
      </c>
      <c r="F58" s="10">
        <f>Q28</f>
        <v>1419.19186341186</v>
      </c>
      <c r="H58" s="2"/>
      <c r="I58" s="9">
        <f t="shared" si="31"/>
        <v>142184.539957048</v>
      </c>
      <c r="J58" s="9">
        <f t="shared" si="32"/>
        <v>39663207.9816942</v>
      </c>
      <c r="K58" s="9">
        <f t="shared" si="33"/>
        <v>10000927.0890726</v>
      </c>
    </row>
    <row r="59" s="1" customFormat="1" customHeight="1" spans="8:11">
      <c r="H59" s="2"/>
      <c r="I59" s="9">
        <f t="shared" si="31"/>
        <v>143182.496056785</v>
      </c>
      <c r="J59" s="9">
        <f t="shared" si="32"/>
        <v>87968693.3929768</v>
      </c>
      <c r="K59" s="9">
        <f t="shared" si="33"/>
        <v>27517972.5436179</v>
      </c>
    </row>
    <row r="60" s="1" customFormat="1" customHeight="1" spans="2:11">
      <c r="B60" s="9" t="s">
        <v>53</v>
      </c>
      <c r="C60" s="12" cm="1">
        <f t="array" ref="C60:C62">MMULT(MINVERSE(B56:D58),F56:F58)</f>
        <v>8.4437379565934</v>
      </c>
      <c r="D60" s="13" t="s">
        <v>54</v>
      </c>
      <c r="E60" s="9" t="s">
        <v>55</v>
      </c>
      <c r="F60" s="12">
        <f>EXP(C60)</f>
        <v>4645.88869833331</v>
      </c>
      <c r="H60" s="2"/>
      <c r="I60" s="9">
        <f t="shared" si="31"/>
        <v>143937.672678427</v>
      </c>
      <c r="J60" s="9">
        <f t="shared" si="32"/>
        <v>2399382.37560147</v>
      </c>
      <c r="K60" s="9">
        <f t="shared" si="33"/>
        <v>41442381.6345269</v>
      </c>
    </row>
    <row r="61" s="1" customFormat="1" customHeight="1" spans="2:11">
      <c r="B61" s="9" t="s">
        <v>48</v>
      </c>
      <c r="C61" s="9">
        <v>0.040696410780356</v>
      </c>
      <c r="D61" s="13" t="s">
        <v>54</v>
      </c>
      <c r="E61" s="9" t="s">
        <v>56</v>
      </c>
      <c r="F61" s="9">
        <f>C61</f>
        <v>0.040696410780356</v>
      </c>
      <c r="H61" s="2"/>
      <c r="I61" s="9">
        <f t="shared" si="31"/>
        <v>145097.587018806</v>
      </c>
      <c r="J61" s="9">
        <f t="shared" si="32"/>
        <v>421306261.768344</v>
      </c>
      <c r="K61" s="9">
        <f t="shared" si="33"/>
        <v>706190360.422406</v>
      </c>
    </row>
    <row r="62" s="1" customFormat="1" customHeight="1" spans="2:11">
      <c r="B62" s="9" t="s">
        <v>50</v>
      </c>
      <c r="C62" s="9">
        <v>0.541471188716969</v>
      </c>
      <c r="D62" s="13" t="s">
        <v>54</v>
      </c>
      <c r="E62" s="9" t="s">
        <v>57</v>
      </c>
      <c r="F62" s="9">
        <f>C62</f>
        <v>0.541471188716969</v>
      </c>
      <c r="H62" s="2"/>
      <c r="I62" s="9">
        <f t="shared" si="31"/>
        <v>145717.380874943</v>
      </c>
      <c r="J62" s="9">
        <f t="shared" si="32"/>
        <v>1620541708.3322</v>
      </c>
      <c r="K62" s="9">
        <f t="shared" si="33"/>
        <v>2201884527.08907</v>
      </c>
    </row>
    <row r="63" s="1" customFormat="1" customHeight="1" spans="8:8">
      <c r="H63" s="2"/>
    </row>
    <row r="64" s="1" customFormat="1" customHeight="1" spans="8:11">
      <c r="H64" s="2"/>
      <c r="I64" s="2"/>
      <c r="J64" s="9" t="s">
        <v>58</v>
      </c>
      <c r="K64" s="9">
        <f>SQRT(1-(SUM(J41:J62)/SUM(K41:K62)))</f>
        <v>0.345427263143068</v>
      </c>
    </row>
    <row r="65" s="1" customFormat="1" customHeight="1" spans="8:11">
      <c r="H65" s="2"/>
      <c r="I65" s="2"/>
      <c r="J65" s="2"/>
      <c r="K65" s="2"/>
    </row>
    <row r="66" s="1" customFormat="1" customHeight="1" spans="8:11">
      <c r="H66" s="2"/>
      <c r="I66" s="2"/>
      <c r="J66" s="2"/>
      <c r="K66" s="2"/>
    </row>
    <row r="67" s="1" customFormat="1" customHeight="1" spans="8:11">
      <c r="H67" s="2"/>
      <c r="I67" s="2"/>
      <c r="J67" s="2"/>
      <c r="K67" s="2"/>
    </row>
    <row r="68" s="1" customFormat="1" customHeight="1" spans="2:4">
      <c r="B68" s="9" t="s">
        <v>59</v>
      </c>
      <c r="C68" s="16" t="s">
        <v>60</v>
      </c>
      <c r="D68" s="17"/>
    </row>
    <row r="69" s="1" customFormat="1" ht="15" spans="2:5">
      <c r="B69" s="2"/>
      <c r="C69" s="9" t="s">
        <v>61</v>
      </c>
      <c r="D69" s="8"/>
      <c r="E69" s="8"/>
    </row>
    <row r="70" s="1" customFormat="1" ht="15" spans="2:3">
      <c r="B70" s="2"/>
      <c r="C70" s="2"/>
    </row>
    <row r="71" s="1" customFormat="1" customHeight="1" spans="7:11">
      <c r="G71" s="2"/>
      <c r="H71" s="2"/>
      <c r="J71" s="2"/>
      <c r="K71" s="2"/>
    </row>
    <row r="72" s="1" customFormat="1" customHeight="1" spans="7:11">
      <c r="G72" s="2"/>
      <c r="H72" s="2"/>
      <c r="J72" s="2"/>
      <c r="K72" s="2"/>
    </row>
    <row r="73" s="1" customFormat="1" customHeight="1" spans="7:11">
      <c r="G73" s="2"/>
      <c r="H73" s="2"/>
      <c r="J73" s="2"/>
      <c r="K73" s="2"/>
    </row>
    <row r="75" s="1" customFormat="1" customHeight="1" spans="7:11">
      <c r="G75" s="18"/>
      <c r="H75" s="2"/>
      <c r="J75" s="2"/>
      <c r="K75" s="2"/>
    </row>
    <row r="76" s="1" customFormat="1" customHeight="1" spans="2:7">
      <c r="B76" s="2"/>
      <c r="C76" s="2"/>
      <c r="D76" s="2"/>
      <c r="G76" s="19"/>
    </row>
    <row r="77" s="1" customFormat="1" customHeight="1" spans="4:7">
      <c r="D77"/>
      <c r="E77"/>
      <c r="F77"/>
      <c r="G77"/>
    </row>
    <row r="78" s="1" customFormat="1" customHeight="1" spans="4:7">
      <c r="D78"/>
      <c r="E78"/>
      <c r="F78"/>
      <c r="G78"/>
    </row>
    <row r="85" s="1" customFormat="1" customHeight="1" spans="2:5">
      <c r="B85" t="s">
        <v>62</v>
      </c>
      <c r="E85" t="s">
        <v>63</v>
      </c>
    </row>
    <row r="86" s="1" customFormat="1" customHeight="1" spans="2:5">
      <c r="B86" t="s">
        <v>64</v>
      </c>
      <c r="E86" s="1" t="s">
        <v>65</v>
      </c>
    </row>
    <row r="87" s="1" customFormat="1" customHeight="1" spans="2:5">
      <c r="B87" t="s">
        <v>66</v>
      </c>
      <c r="C87" s="20"/>
      <c r="E87" s="1" t="s">
        <v>67</v>
      </c>
    </row>
    <row r="88" s="1" customFormat="1" customHeight="1" spans="2:5">
      <c r="B88" t="s">
        <v>68</v>
      </c>
      <c r="C88" s="20"/>
      <c r="E88" t="s">
        <v>69</v>
      </c>
    </row>
    <row r="89" s="1" customFormat="1" customHeight="1" spans="2:5">
      <c r="B89" t="s">
        <v>70</v>
      </c>
      <c r="C89" s="20"/>
      <c r="E89" t="s">
        <v>71</v>
      </c>
    </row>
    <row r="90" s="1" customFormat="1" customHeight="1" spans="2:9">
      <c r="B90" t="s">
        <v>72</v>
      </c>
      <c r="C90" s="20"/>
      <c r="E90" t="s">
        <v>73</v>
      </c>
      <c r="I90" t="s">
        <v>74</v>
      </c>
    </row>
    <row r="91" s="1" customFormat="1" customHeight="1" spans="2:5">
      <c r="B91" s="20"/>
      <c r="C91" s="20"/>
      <c r="E91"/>
    </row>
    <row r="92" s="1" customFormat="1" customHeight="1" spans="2:3">
      <c r="B92" s="20"/>
      <c r="C92" s="20"/>
    </row>
    <row r="93" s="1" customFormat="1" customHeight="1" spans="2:9">
      <c r="B93" s="13" t="s">
        <v>75</v>
      </c>
      <c r="C93" s="20"/>
      <c r="I93" s="13" t="s">
        <v>76</v>
      </c>
    </row>
    <row r="94" s="1" customFormat="1" customHeight="1" spans="2:9">
      <c r="B94" s="13">
        <f>(F52/G28)*F62</f>
        <v>323.305858942154</v>
      </c>
      <c r="C94" s="20"/>
      <c r="I94" s="13">
        <f>F61*(H28/I28)</f>
        <v>0.103579782421289</v>
      </c>
    </row>
    <row r="95" s="1" customFormat="1" customHeight="1" spans="3:3">
      <c r="C95" s="20"/>
    </row>
    <row r="96" s="1" customFormat="1" customHeight="1" spans="2:3">
      <c r="B96" s="20"/>
      <c r="C96" s="20"/>
    </row>
    <row r="97" s="1" customFormat="1" customHeight="1" spans="2:3">
      <c r="B97" s="20"/>
      <c r="C97" s="20"/>
    </row>
    <row r="98" s="1" customFormat="1" customHeight="1" spans="2:3">
      <c r="B98" s="20"/>
      <c r="C98" s="20"/>
    </row>
    <row r="99" s="1" customFormat="1" customHeight="1" spans="2:3">
      <c r="B99" s="20"/>
      <c r="C99" s="20"/>
    </row>
    <row r="100" s="1" customFormat="1" customHeight="1" spans="2:3">
      <c r="B100" s="20"/>
      <c r="C100" s="20"/>
    </row>
    <row r="101" s="1" customFormat="1" customHeight="1" spans="2:3">
      <c r="B101" s="20"/>
      <c r="C101" s="20"/>
    </row>
    <row r="102" s="1" customFormat="1" customHeight="1" spans="2:3">
      <c r="B102" s="20"/>
      <c r="C102" s="20"/>
    </row>
    <row r="103" s="1" customFormat="1" customHeight="1" spans="2:3">
      <c r="B103" s="20"/>
      <c r="C103" s="20"/>
    </row>
    <row r="104" s="1" customFormat="1" customHeight="1" spans="2:3">
      <c r="B104" s="20"/>
      <c r="C104" s="20"/>
    </row>
    <row r="105" s="1" customFormat="1" customHeight="1" spans="2:3">
      <c r="B105" s="20"/>
      <c r="C105" s="20"/>
    </row>
    <row r="106" s="1" customFormat="1" customHeight="1" spans="2:3">
      <c r="B106" s="20"/>
      <c r="C106" s="20"/>
    </row>
    <row r="108" customHeight="1" spans="2:8">
      <c r="B108" t="s">
        <v>77</v>
      </c>
      <c r="E108" t="s">
        <v>78</v>
      </c>
      <c r="H108" t="s">
        <v>78</v>
      </c>
    </row>
    <row r="109" customHeight="1" spans="2:9">
      <c r="B109" s="8" t="s">
        <v>79</v>
      </c>
      <c r="C109" s="8">
        <f>257</f>
        <v>257</v>
      </c>
      <c r="E109" s="8" t="s">
        <v>79</v>
      </c>
      <c r="F109" s="8">
        <v>258</v>
      </c>
      <c r="H109" s="8" t="s">
        <v>79</v>
      </c>
      <c r="I109" s="8">
        <v>260</v>
      </c>
    </row>
    <row r="110" customHeight="1" spans="2:9">
      <c r="B110" s="8" t="s">
        <v>80</v>
      </c>
      <c r="C110" s="8">
        <f>E27</f>
        <v>60900</v>
      </c>
      <c r="E110" s="8" t="s">
        <v>80</v>
      </c>
      <c r="F110" s="8">
        <v>65000</v>
      </c>
      <c r="H110" s="8" t="s">
        <v>80</v>
      </c>
      <c r="I110" s="8">
        <v>65000</v>
      </c>
    </row>
    <row r="112" customHeight="1" spans="2:2">
      <c r="B112" t="s">
        <v>81</v>
      </c>
    </row>
    <row r="114" customHeight="1" spans="2:6">
      <c r="B114" t="s">
        <v>82</v>
      </c>
      <c r="D114" s="8" t="s">
        <v>83</v>
      </c>
      <c r="E114" s="8"/>
      <c r="F114" s="8"/>
    </row>
    <row r="116" customHeight="1" spans="2:8">
      <c r="B116" s="8" t="s">
        <v>84</v>
      </c>
      <c r="E116" s="8" t="s">
        <v>85</v>
      </c>
      <c r="H116" s="8" t="s">
        <v>86</v>
      </c>
    </row>
    <row r="117" customHeight="1" spans="2:8">
      <c r="B117" s="8">
        <f>F60*(C110^F61)*(C109^F62)</f>
        <v>146789.470864893</v>
      </c>
      <c r="E117" s="8">
        <f>F60*(F110^F61)*(F109^F62)</f>
        <v>147489.019722806</v>
      </c>
      <c r="H117" s="8">
        <f>F60*(I110^F61)*(I109^F62)</f>
        <v>148107.001542004</v>
      </c>
    </row>
    <row r="118" customHeight="1" spans="8:8">
      <c r="H118" s="21"/>
    </row>
    <row r="121" customHeight="1" spans="2:2">
      <c r="B121" s="1" t="s">
        <v>87</v>
      </c>
    </row>
  </sheetData>
  <pageMargins left="0.75" right="0.75" top="1" bottom="1" header="0.5" footer="0.5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ВЫХУХОЛЬ</dc:creator>
  <cp:lastModifiedBy>fergus</cp:lastModifiedBy>
  <dcterms:created xsi:type="dcterms:W3CDTF">2026-03-31T15:06:56Z</dcterms:created>
  <dcterms:modified xsi:type="dcterms:W3CDTF">2026-04-01T09:57:27Z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DC28B75DC664461DA956F3324094A710_11</vt:lpwstr>
  </property>
  <property fmtid="{D5CDD505-2E9C-101B-9397-08002B2CF9AE}" pid="3" name="KSOProductBuildVer">
    <vt:lpwstr>1049-12.2.0.23197</vt:lpwstr>
  </property>
</Properties>
</file>