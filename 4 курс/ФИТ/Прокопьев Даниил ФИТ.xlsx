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 activeTab="5"/>
  </bookViews>
  <sheets>
    <sheet name="Остатки счетам баланса за 3 кв" sheetId="1" r:id="rId1"/>
    <sheet name="Книга учета хоз. операций" sheetId="2" r:id="rId2"/>
    <sheet name="ОСБ" sheetId="3" r:id="rId3"/>
    <sheet name="Форма 1" sheetId="4" r:id="rId4"/>
    <sheet name="Форма 2" sheetId="5" r:id="rId5"/>
    <sheet name="Финансовое состояние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<sst xmlns="http://schemas.openxmlformats.org/spreadsheetml/2006/main" count="452" uniqueCount="361">
  <si>
    <t>Вариант 25</t>
  </si>
  <si>
    <t>Прокопьев Даниил</t>
  </si>
  <si>
    <t>№ счета</t>
  </si>
  <si>
    <t>Наименование</t>
  </si>
  <si>
    <t>Актив</t>
  </si>
  <si>
    <t>Пассив</t>
  </si>
  <si>
    <t>Основные средства</t>
  </si>
  <si>
    <t>Амортизация ОС</t>
  </si>
  <si>
    <t>Касса</t>
  </si>
  <si>
    <t>Расчетный счет</t>
  </si>
  <si>
    <t>Специальные счета в банках</t>
  </si>
  <si>
    <t>Покупатели и заказчики</t>
  </si>
  <si>
    <t>Подотчетные лица</t>
  </si>
  <si>
    <t>Краткосрочные кредиты и займы</t>
  </si>
  <si>
    <t>Налоги и сборы</t>
  </si>
  <si>
    <t>Соцстрахование</t>
  </si>
  <si>
    <t>Уставный капитал</t>
  </si>
  <si>
    <t>Резервный капитал</t>
  </si>
  <si>
    <t>Нераспределенная прибыль</t>
  </si>
  <si>
    <t>Итого</t>
  </si>
  <si>
    <t>НДС на момент 14.04.2026 = 22%</t>
  </si>
  <si>
    <t>Однако мы берем НДС-20% т.к в задаче явно указаны даты до 26 года</t>
  </si>
  <si>
    <t>Книга учета хозяйственных операций  ООО «ША»</t>
  </si>
  <si>
    <t>1 Операция</t>
  </si>
  <si>
    <t>Оплата от покупателя, погашение кредита и процентов</t>
  </si>
  <si>
    <t xml:space="preserve">№ </t>
  </si>
  <si>
    <t>Дата</t>
  </si>
  <si>
    <t>Наименование операции</t>
  </si>
  <si>
    <t xml:space="preserve"> Дебет сч.</t>
  </si>
  <si>
    <t>Кредит сч.</t>
  </si>
  <si>
    <t>Сумма, руб.</t>
  </si>
  <si>
    <t>Получена 100% оплата от покупателя за продукцию 3 кв.</t>
  </si>
  <si>
    <t>Начислены проценты по краткосрочному кредиту</t>
  </si>
  <si>
    <t>91-2</t>
  </si>
  <si>
    <t>66-2</t>
  </si>
  <si>
    <t>Проценты прямо из условия</t>
  </si>
  <si>
    <t>Погашен краткосрочный кредит</t>
  </si>
  <si>
    <t>66-1</t>
  </si>
  <si>
    <t>Уплачены проценты по кредиту</t>
  </si>
  <si>
    <t>Та же сумма процентов</t>
  </si>
  <si>
    <t>Начислен налог на имущество</t>
  </si>
  <si>
    <t>99-3</t>
  </si>
  <si>
    <t>68-8</t>
  </si>
  <si>
    <t>Уплачен налог на имущество</t>
  </si>
  <si>
    <t>2 Операция</t>
  </si>
  <si>
    <t>Командировка Таболкина</t>
  </si>
  <si>
    <t>Получены наличные с расчётного счёта для выдачи аванса Таболкину Ф.И.</t>
  </si>
  <si>
    <t>Выданы деньги под отчет Таболкину Ф.И.</t>
  </si>
  <si>
    <t>Выданный аванс</t>
  </si>
  <si>
    <t>Списаны командировочные расходы без НДС</t>
  </si>
  <si>
    <t>Общий авансовый отчет 38250, из него НДС 502</t>
  </si>
  <si>
    <t>Выделен НДС по командировочным расходам</t>
  </si>
  <si>
    <t>НДС выделяется отдельно</t>
  </si>
  <si>
    <t>НДС по командировочным принят к вычету</t>
  </si>
  <si>
    <t>68-2</t>
  </si>
  <si>
    <t>Возмещен перерасход подотчетному лицу</t>
  </si>
  <si>
    <r>
      <rPr>
        <sz val="11"/>
        <color theme="1"/>
        <rFont val="Times New Roman"/>
        <charset val="134"/>
      </rPr>
      <t xml:space="preserve">Подотчетное лицо израсходовало по авансовому отчету </t>
    </r>
    <r>
      <rPr>
        <b/>
        <sz val="11"/>
        <color theme="1"/>
        <rFont val="Times New Roman"/>
        <charset val="134"/>
      </rPr>
      <t>всего 38250</t>
    </r>
    <r>
      <rPr>
        <sz val="11"/>
        <color theme="1"/>
        <rFont val="Times New Roman"/>
        <charset val="134"/>
      </rPr>
      <t>, а не 37748.</t>
    </r>
  </si>
  <si>
    <t>3 Операция</t>
  </si>
  <si>
    <t>Покупка оборудования и монтаж</t>
  </si>
  <si>
    <r>
      <rPr>
        <sz val="11"/>
        <color theme="1"/>
        <rFont val="Calibri"/>
        <charset val="134"/>
        <scheme val="minor"/>
      </rPr>
      <t xml:space="preserve">Отражена стоимость оборудования, требующего монтажа, </t>
    </r>
    <r>
      <rPr>
        <b/>
        <sz val="11"/>
        <color theme="1"/>
        <rFont val="Calibri"/>
        <charset val="134"/>
        <scheme val="minor"/>
      </rPr>
      <t>без НДС</t>
    </r>
  </si>
  <si>
    <t>07</t>
  </si>
  <si>
    <t>Из общей суммы покупки выделяем стоимость без НДС</t>
  </si>
  <si>
    <t>Выделен входной НДС по оборудованию</t>
  </si>
  <si>
    <t>19-1</t>
  </si>
  <si>
    <t>Это не платеж, а выделение входного НДС</t>
  </si>
  <si>
    <t>Оплачено оборудование поставщику</t>
  </si>
  <si>
    <t>Платим поставщику всю сумму по платежному поручению</t>
  </si>
  <si>
    <t>Отражена стоимость монтажа оборудования</t>
  </si>
  <si>
    <r>
      <rPr>
        <sz val="11"/>
        <color theme="1"/>
        <rFont val="Calibri"/>
        <charset val="134"/>
        <scheme val="minor"/>
      </rPr>
      <t xml:space="preserve">В условии прямо сказано: монтаж 28000 </t>
    </r>
    <r>
      <rPr>
        <b/>
        <sz val="11"/>
        <color theme="1"/>
        <rFont val="Calibri"/>
        <charset val="134"/>
        <scheme val="minor"/>
      </rPr>
      <t>без НДС</t>
    </r>
  </si>
  <si>
    <t>Оплачен монтаж оборудования</t>
  </si>
  <si>
    <t>Оплата подрядчику за монтаж</t>
  </si>
  <si>
    <t>Сформированы капитальные вложения по оборудованию</t>
  </si>
  <si>
    <t>08-4</t>
  </si>
  <si>
    <t>Полная первоначальная стоимость без НДС: оборудование + монтаж</t>
  </si>
  <si>
    <t>Оборудование находится на регистрации в ЕГРОС поэтому мы не доводим его до ввода на 01 счет</t>
  </si>
  <si>
    <t xml:space="preserve"> </t>
  </si>
  <si>
    <t>4 Операция</t>
  </si>
  <si>
    <t>Обналичивание денег и выдача Фокину</t>
  </si>
  <si>
    <t>Получены наличные из банка по денежному чеку</t>
  </si>
  <si>
    <t>Из-за самого факта “сняли наличные в банке и выдали их под отчет” налог платить не нужно.</t>
  </si>
  <si>
    <t>Выданы деньги под отчет Фокину Я.Б.</t>
  </si>
  <si>
    <t>Это движение денег внутри компании: 51 → 50 → 71. Само по себе оно не образует ни НДС, ни НДФЛ</t>
  </si>
  <si>
    <t>5 Операция</t>
  </si>
  <si>
    <t>Канцтовары, материалы и списание материалов в производство</t>
  </si>
  <si>
    <t>Списаны канцтовары на общехозяйственные расходы</t>
  </si>
  <si>
    <t>Оформлена чековая книжка / лимит под расчетный чек</t>
  </si>
  <si>
    <t>55-2</t>
  </si>
  <si>
    <t>Оплачены основные материалы расчетным чеком</t>
  </si>
  <si>
    <t>Оприходованы основные материалы без НДС</t>
  </si>
  <si>
    <t>Выделен НДС по основным материалам</t>
  </si>
  <si>
    <t>19-3</t>
  </si>
  <si>
    <t>Списаны основные материалы в производство</t>
  </si>
  <si>
    <t>НДС по израсходованным материалам принят к вычету</t>
  </si>
  <si>
    <t>Начислена амортизация ОС, используемых при обработке материалов</t>
  </si>
  <si>
    <t>02</t>
  </si>
  <si>
    <t>Начислена амортизация оставшихся общехозяйственных ОС</t>
  </si>
  <si>
    <t>6 Операция</t>
  </si>
  <si>
    <t>Реклама</t>
  </si>
  <si>
    <t>Отражены расходы на телерекламу без НДС</t>
  </si>
  <si>
    <t>Выделен НДС по рекламе</t>
  </si>
  <si>
    <t>Оплачены рекламные услуги</t>
  </si>
  <si>
    <t>НДС по рекламе принят к вычету</t>
  </si>
  <si>
    <t>7 Операция</t>
  </si>
  <si>
    <t>Выдача заработной платы</t>
  </si>
  <si>
    <t>Начисление заработной платы по основному производству</t>
  </si>
  <si>
    <r>
      <rPr>
        <sz val="11"/>
        <color theme="1"/>
        <rFont val="Calibri"/>
        <charset val="134"/>
        <scheme val="minor"/>
      </rPr>
      <t xml:space="preserve">Это зарплата работников, которые </t>
    </r>
    <r>
      <rPr>
        <b/>
        <sz val="11"/>
        <color theme="1"/>
        <rFont val="Calibri"/>
        <charset val="134"/>
        <scheme val="minor"/>
      </rPr>
      <t>непосредственно делают продукцию</t>
    </r>
    <r>
      <rPr>
        <sz val="11"/>
        <color theme="1"/>
        <rFont val="Calibri"/>
        <charset val="134"/>
        <scheme val="minor"/>
      </rPr>
      <t>.</t>
    </r>
  </si>
  <si>
    <t>Начисление заработной платы АУП</t>
  </si>
  <si>
    <r>
      <rPr>
        <sz val="11"/>
        <color theme="1"/>
        <rFont val="Calibri"/>
        <charset val="134"/>
        <scheme val="minor"/>
      </rPr>
      <t xml:space="preserve">Это зарплата </t>
    </r>
    <r>
      <rPr>
        <b/>
        <sz val="11"/>
        <color theme="1"/>
        <rFont val="Calibri"/>
        <charset val="134"/>
        <scheme val="minor"/>
      </rPr>
      <t>административно-управленческого персонала</t>
    </r>
    <r>
      <rPr>
        <sz val="11"/>
        <color theme="1"/>
        <rFont val="Calibri"/>
        <charset val="134"/>
        <scheme val="minor"/>
      </rPr>
      <t>.</t>
    </r>
  </si>
  <si>
    <t>Страховые взносы по основному производству</t>
  </si>
  <si>
    <t>На зарплату рабочих предприятие дополнительно начисляет страховые взносы.</t>
  </si>
  <si>
    <t>Страховые взносы АУП</t>
  </si>
  <si>
    <t>Это взносы уже не по рабочим, а по АУП.</t>
  </si>
  <si>
    <t>НДФЛ по заработной плате</t>
  </si>
  <si>
    <t>68-1</t>
  </si>
  <si>
    <r>
      <rPr>
        <sz val="11"/>
        <color theme="1"/>
        <rFont val="Calibri"/>
        <charset val="134"/>
        <scheme val="minor"/>
      </rPr>
      <t xml:space="preserve">работникам уже должны не всю начисленную зарплату, а </t>
    </r>
    <r>
      <rPr>
        <b/>
        <sz val="11"/>
        <color theme="1"/>
        <rFont val="Calibri"/>
        <charset val="134"/>
        <scheme val="minor"/>
      </rPr>
      <t>за минусом НДФЛ</t>
    </r>
    <r>
      <rPr>
        <sz val="11"/>
        <color theme="1"/>
        <rFont val="Calibri"/>
        <charset val="134"/>
        <scheme val="minor"/>
      </rPr>
      <t>; на 68-1 появляется сумма налога к перечислению.</t>
    </r>
  </si>
  <si>
    <t>Выплата заработной платы</t>
  </si>
  <si>
    <t>задолженность по зарплате уменьшается,
с расчетного счета уходят деньги работникам.</t>
  </si>
  <si>
    <t>Выплата страховых взносов</t>
  </si>
  <si>
    <r>
      <rPr>
        <b/>
        <sz val="11"/>
        <color theme="1"/>
        <rFont val="Calibri"/>
        <charset val="134"/>
        <scheme val="minor"/>
      </rPr>
      <t>по  условию</t>
    </r>
    <r>
      <rPr>
        <sz val="11"/>
        <color theme="1"/>
        <rFont val="Calibri"/>
        <charset val="134"/>
        <scheme val="minor"/>
      </rPr>
      <t xml:space="preserve"> этой строки нет, потому что там сказано только, что </t>
    </r>
    <r>
      <rPr>
        <b/>
        <sz val="11"/>
        <color theme="1"/>
        <rFont val="Calibri"/>
        <charset val="134"/>
        <scheme val="minor"/>
      </rPr>
      <t>выплачена зарплата</t>
    </r>
    <r>
      <rPr>
        <sz val="11"/>
        <color theme="1"/>
        <rFont val="Calibri"/>
        <charset val="134"/>
        <scheme val="minor"/>
      </rPr>
      <t>, а не что перечислены взносы. Однако я решил  что взносы так или иначе должны быть выплачены</t>
    </r>
  </si>
  <si>
    <t>Выплата НДФЛ</t>
  </si>
  <si>
    <t>68-ЕНП</t>
  </si>
  <si>
    <t>Как и со строкой 37, в тексте задания прямо не написано, что НДФЛ перечислен. Однако я решил что он должен быть выплачен</t>
  </si>
  <si>
    <t>8 Операция</t>
  </si>
  <si>
    <t>выпуск 80% готовой продукции</t>
  </si>
  <si>
    <t xml:space="preserve">Тут всего одна проводка потому что  8 операция по условию — это только: "26.12 получены на склад 80% готовой продукции, изготовленной в 4 кв." Это означает внутреннее перемещение внутри учета:
было на 20 как затраты производства,
стало на 43 как готовая продукция на складе.
То есть здесь одна проводка </t>
  </si>
  <si>
    <t>Оприходована на склад готовая продукция (80% выпуска 4 кв.)</t>
  </si>
  <si>
    <t>Однако у нас осталось 20%, они остаются на 20 счете как незавершенное производство, и я не знаю нужно ли прописывать это как проводку или нет</t>
  </si>
  <si>
    <t>Закрывающий блок</t>
  </si>
  <si>
    <t>Списаны коммерческие расходы на продажи</t>
  </si>
  <si>
    <t>90-2</t>
  </si>
  <si>
    <t>Списаны общехозяйственные расходы на продажи</t>
  </si>
  <si>
    <t>Отражен убыток от продаж</t>
  </si>
  <si>
    <t>90-9</t>
  </si>
  <si>
    <t>Потому что в 4 квартале нет выручки по 90-1, а расходы периода есть. По учебнику результат по 90 и 91 в конце месяца переносится на 99.</t>
  </si>
  <si>
    <t>Отражен прочий убыток по процентам</t>
  </si>
  <si>
    <t>91-9</t>
  </si>
  <si>
    <r>
      <rPr>
        <sz val="11"/>
        <color theme="1"/>
        <rFont val="Calibri"/>
        <charset val="134"/>
        <scheme val="minor"/>
      </rPr>
      <t xml:space="preserve">Они шли на </t>
    </r>
    <r>
      <rPr>
        <b/>
        <sz val="11"/>
        <color theme="1"/>
        <rFont val="Calibri"/>
        <charset val="134"/>
        <scheme val="minor"/>
      </rPr>
      <t>91-2</t>
    </r>
    <r>
      <rPr>
        <sz val="11"/>
        <color theme="1"/>
        <rFont val="Calibri"/>
        <charset val="134"/>
        <scheme val="minor"/>
      </rPr>
      <t>, значит закрываются как прочий убыток на 99. Счет 91 предназначен для прочих доходов и расходов, а проценты к уплате попадают в операционные/прочие расходы.</t>
    </r>
  </si>
  <si>
    <t>Списан итоговый убыток отчетного периода на счет 84-1</t>
  </si>
  <si>
    <t>84-1</t>
  </si>
  <si>
    <r>
      <rPr>
        <sz val="11"/>
        <color theme="1"/>
        <rFont val="Calibri"/>
        <charset val="134"/>
        <scheme val="minor"/>
      </rPr>
      <t xml:space="preserve">И его уже переносим на </t>
    </r>
    <r>
      <rPr>
        <b/>
        <sz val="11"/>
        <color theme="1"/>
        <rFont val="Calibri"/>
        <charset val="134"/>
        <scheme val="minor"/>
      </rPr>
      <t>84-1</t>
    </r>
    <r>
      <rPr>
        <sz val="11"/>
        <color theme="1"/>
        <rFont val="Calibri"/>
        <charset val="134"/>
        <scheme val="minor"/>
      </rPr>
      <t xml:space="preserve"> как непокрытый убыток отчетного периода, потому что по учебнику чистая прибыль/убыток счета 99 в конце года списывается на 84.</t>
    </r>
  </si>
  <si>
    <t>№ пп</t>
  </si>
  <si>
    <t>№№ счет - кор. счет</t>
  </si>
  <si>
    <t>Сальдо
 начальное</t>
  </si>
  <si>
    <t>Обороты</t>
  </si>
  <si>
    <t>Сальдо
исходящее</t>
  </si>
  <si>
    <t>Д</t>
  </si>
  <si>
    <t>К</t>
  </si>
  <si>
    <t>01*</t>
  </si>
  <si>
    <t>оборудование еще на регистрации, поэтому 01/08 пока нет.</t>
  </si>
  <si>
    <t>02-20</t>
  </si>
  <si>
    <t>02-26</t>
  </si>
  <si>
    <t>02*</t>
  </si>
  <si>
    <t>07-60</t>
  </si>
  <si>
    <t>07-08-4</t>
  </si>
  <si>
    <t>07*</t>
  </si>
  <si>
    <t>08-04-07</t>
  </si>
  <si>
    <t>08*</t>
  </si>
  <si>
    <t>10-60</t>
  </si>
  <si>
    <t>10-20</t>
  </si>
  <si>
    <t>10*</t>
  </si>
  <si>
    <t>19-71</t>
  </si>
  <si>
    <t>19-1-60</t>
  </si>
  <si>
    <t>19-3-60</t>
  </si>
  <si>
    <t>19-68-2</t>
  </si>
  <si>
    <t>19-2-68-2</t>
  </si>
  <si>
    <t>19-3-68-2</t>
  </si>
  <si>
    <t>19*</t>
  </si>
  <si>
    <t>По оборудованию НДС пока останется на 19, если мы не принимаем его к вычету до регистрации.</t>
  </si>
  <si>
    <t>20-10</t>
  </si>
  <si>
    <t>20-70</t>
  </si>
  <si>
    <t>20-69</t>
  </si>
  <si>
    <t>20-02</t>
  </si>
  <si>
    <t>20-43</t>
  </si>
  <si>
    <t>20*</t>
  </si>
  <si>
    <t>26-71</t>
  </si>
  <si>
    <t>26-70</t>
  </si>
  <si>
    <t>26-69</t>
  </si>
  <si>
    <t>26-02</t>
  </si>
  <si>
    <t>26-90-2</t>
  </si>
  <si>
    <t>26*</t>
  </si>
  <si>
    <t>43-20</t>
  </si>
  <si>
    <t>43*</t>
  </si>
  <si>
    <t>44-71</t>
  </si>
  <si>
    <t>44-60</t>
  </si>
  <si>
    <t>44-90-2</t>
  </si>
  <si>
    <t>44*</t>
  </si>
  <si>
    <t>50-51</t>
  </si>
  <si>
    <t>50-71</t>
  </si>
  <si>
    <t>50-55</t>
  </si>
  <si>
    <t>50*</t>
  </si>
  <si>
    <t>51-62</t>
  </si>
  <si>
    <t>51-68-8</t>
  </si>
  <si>
    <t>51-66-1</t>
  </si>
  <si>
    <t>51-66-2</t>
  </si>
  <si>
    <t>51-50</t>
  </si>
  <si>
    <t>51-55-2</t>
  </si>
  <si>
    <t>51-60</t>
  </si>
  <si>
    <t>51-70</t>
  </si>
  <si>
    <t>51-69</t>
  </si>
  <si>
    <t>51-68-ЕНП</t>
  </si>
  <si>
    <t>51*</t>
  </si>
  <si>
    <t>55-2-51</t>
  </si>
  <si>
    <t>55-2-60</t>
  </si>
  <si>
    <t>55*</t>
  </si>
  <si>
    <t>60-55-2</t>
  </si>
  <si>
    <t>60-51</t>
  </si>
  <si>
    <t>60-10</t>
  </si>
  <si>
    <t>60-19-3</t>
  </si>
  <si>
    <t>60-07</t>
  </si>
  <si>
    <t>60-19-1</t>
  </si>
  <si>
    <t>60-44</t>
  </si>
  <si>
    <t>60*</t>
  </si>
  <si>
    <t>62-51</t>
  </si>
  <si>
    <t>62*</t>
  </si>
  <si>
    <t>66-1-51</t>
  </si>
  <si>
    <t>66-2-51</t>
  </si>
  <si>
    <t>66-2-91-2</t>
  </si>
  <si>
    <t>66*</t>
  </si>
  <si>
    <t>68-2-19</t>
  </si>
  <si>
    <t>68-2-19-3</t>
  </si>
  <si>
    <t>68-8-51</t>
  </si>
  <si>
    <t>68-ЕНП-51</t>
  </si>
  <si>
    <t>68-1-70</t>
  </si>
  <si>
    <t>68-8-99-3</t>
  </si>
  <si>
    <t>68*</t>
  </si>
  <si>
    <t>69-20</t>
  </si>
  <si>
    <t>69-26</t>
  </si>
  <si>
    <t>69-51</t>
  </si>
  <si>
    <t>69*</t>
  </si>
  <si>
    <t>70-20</t>
  </si>
  <si>
    <t>70-26</t>
  </si>
  <si>
    <t>70-68-1</t>
  </si>
  <si>
    <t>70-51</t>
  </si>
  <si>
    <t>70*</t>
  </si>
  <si>
    <t>71-50</t>
  </si>
  <si>
    <t>71-44</t>
  </si>
  <si>
    <t>71-19</t>
  </si>
  <si>
    <t>71-26</t>
  </si>
  <si>
    <t>71*</t>
  </si>
  <si>
    <t>80*</t>
  </si>
  <si>
    <t>82*</t>
  </si>
  <si>
    <t>84-1-99</t>
  </si>
  <si>
    <t>84*</t>
  </si>
  <si>
    <t>90-2-44</t>
  </si>
  <si>
    <t>90-2-26</t>
  </si>
  <si>
    <t>90-9-99</t>
  </si>
  <si>
    <t>90*</t>
  </si>
  <si>
    <t>91-2-66-2</t>
  </si>
  <si>
    <t>91-9-99</t>
  </si>
  <si>
    <t>91*</t>
  </si>
  <si>
    <t>99-90-9</t>
  </si>
  <si>
    <t>99-91-9</t>
  </si>
  <si>
    <t>99-84-1</t>
  </si>
  <si>
    <t>99-3-68-8</t>
  </si>
  <si>
    <t>99*</t>
  </si>
  <si>
    <t>Баланс</t>
  </si>
  <si>
    <t>Код показателя</t>
  </si>
  <si>
    <t>На начало отчетного года</t>
  </si>
  <si>
    <t>На конец отчетного периода</t>
  </si>
  <si>
    <r>
      <rPr>
        <b/>
        <sz val="11"/>
        <color theme="1"/>
        <rFont val="Times New Roman"/>
        <charset val="134"/>
      </rPr>
      <t>I. ВНЕОБОРОТНЫЕ АКТИВЫ</t>
    </r>
    <r>
      <rPr>
        <sz val="11"/>
        <color theme="1"/>
        <rFont val="Times New Roman"/>
        <charset val="134"/>
      </rPr>
      <t xml:space="preserve"> Основные средства (01, 02)</t>
    </r>
  </si>
  <si>
    <t>Незавершенное строительство (07, 08, 016)</t>
  </si>
  <si>
    <t>Итого по разделу I</t>
  </si>
  <si>
    <t>II. ОБОРОТНЫЕ АКТИВЫ в том числе:
сырье, материалы и другие аналогичные ценности
(10, 14, 16)</t>
  </si>
  <si>
    <t>затраты в незавершенном производстве (20, 21, 23, 29, 44, 46)</t>
  </si>
  <si>
    <t>готовая продукция и товары для перепродажи (16, 41, 43)</t>
  </si>
  <si>
    <t>Налог на добавленную стоимость по приобретенным ценностям (19)</t>
  </si>
  <si>
    <t>в том числе: покупатели и заказчики (62, 63, 76)</t>
  </si>
  <si>
    <t>прочие дебиторы (68, 69)</t>
  </si>
  <si>
    <t>в том числе: касса (50)</t>
  </si>
  <si>
    <t>расчетные счета (51)</t>
  </si>
  <si>
    <t>прочие денежные средства (55, 57)</t>
  </si>
  <si>
    <t>Итого по разделу II</t>
  </si>
  <si>
    <t>БАЛАНС (сумма строк 190+290)</t>
  </si>
  <si>
    <t xml:space="preserve">Пассив
</t>
  </si>
  <si>
    <r>
      <rPr>
        <b/>
        <sz val="11"/>
        <color theme="1"/>
        <rFont val="Times New Roman"/>
        <charset val="134"/>
      </rPr>
      <t>III. КАПИТАЛ И РЕЗЕРВЫ</t>
    </r>
    <r>
      <rPr>
        <sz val="11"/>
        <color theme="1"/>
        <rFont val="Times New Roman"/>
        <charset val="134"/>
      </rPr>
      <t xml:space="preserve"> Уставный капитал (80)</t>
    </r>
  </si>
  <si>
    <t>Резервный капитал (82)</t>
  </si>
  <si>
    <t>Нераспределенная прибыль прошлых лет (84-2)</t>
  </si>
  <si>
    <t>Непокрытый убыток отчетного года (84-1)</t>
  </si>
  <si>
    <t>х</t>
  </si>
  <si>
    <t>Итого по разделу III</t>
  </si>
  <si>
    <t>V. КРАТКОСРОЧНЫЕ ОБЯЗАТЕЛЬСТВА Займы и кредиты (66)</t>
  </si>
  <si>
    <t>У нас краткосрочный кредит</t>
  </si>
  <si>
    <t>в том числе: поставщики и подрядчики (60, 76)</t>
  </si>
  <si>
    <t>задолженность перед персоналом организации (70)</t>
  </si>
  <si>
    <t>задолженность перед государственными внебюджетными фондами (69)</t>
  </si>
  <si>
    <t>задолженность по налогам и сборам (68)</t>
  </si>
  <si>
    <t>Прочие краткосрочные обязательства</t>
  </si>
  <si>
    <t>Мне не хватало денег что бы закрыть все расчеты, особенно после вычетов НДФЛ и налога на имущество</t>
  </si>
  <si>
    <t>Итого по разделу V</t>
  </si>
  <si>
    <t>БАЛАНС (сумма строк 490+590+690)</t>
  </si>
  <si>
    <t>Отчет о прибылях и убытках, форма №2</t>
  </si>
  <si>
    <t>Показатель</t>
  </si>
  <si>
    <t>За отчетный период</t>
  </si>
  <si>
    <t>Доходы и расходы по обычным видам деятельности</t>
  </si>
  <si>
    <t>Выручка (нетто) от продажи товаров, продукции, работ, услуг (за минусом налога на добавленную стоимость, акцизов и аналогичных обязательных платежей)</t>
  </si>
  <si>
    <t>В 4 квартале продукция не отгружалась (нет оборота по Кт 90-1). Счёт 90-1 в ОСБ отсутствует.</t>
  </si>
  <si>
    <t>Себестоимость проданных товаров, продукции, работ, услуг</t>
  </si>
  <si>
    <t>Нет продаж → нет списания себестоимости (Дт 90-2 с Кт 43 отсутствует).</t>
  </si>
  <si>
    <t>Валовый убыток</t>
  </si>
  <si>
    <t>Коммерческие расходы (44)</t>
  </si>
  <si>
    <t>Оборот по дебету счёта 90-2 в части коммерческих расходов (строка 109 ОСБ). Это сумма, списанная со счёта 44.</t>
  </si>
  <si>
    <t>Управленческие расходы</t>
  </si>
  <si>
    <t>Оборот по дебету счёта 90-2 в части общехозяйственных расходов (строка 110 ОСБ). Это сумма, списанная со счёта 26.</t>
  </si>
  <si>
    <t>Убыток от продаж (010-020-030-040)</t>
  </si>
  <si>
    <r>
      <rPr>
        <sz val="11.25"/>
        <rFont val="Segoe UI"/>
        <charset val="134"/>
      </rPr>
      <t>Разница между валовой прибылью и расходами на продажу и управление. В ОСБ этот же результат отражён как оборот Дт 99 Кт 90-9 (строка 111 ОСБ, сумма </t>
    </r>
    <r>
      <rPr>
        <sz val="9.75"/>
        <rFont val="Consolas"/>
        <charset val="134"/>
      </rPr>
      <t>G114</t>
    </r>
    <r>
      <rPr>
        <sz val="11.25"/>
        <rFont val="Segoe UI"/>
        <charset val="134"/>
      </rPr>
      <t>).</t>
    </r>
  </si>
  <si>
    <t>Операционные доходы и расходы</t>
  </si>
  <si>
    <t>Проценты к уплате</t>
  </si>
  <si>
    <t>Оборот по дебету счёта 91-2 (строка 113 ОСБ). Это проценты по кредиту.</t>
  </si>
  <si>
    <t>Прочие операционные доходы</t>
  </si>
  <si>
    <t>Оборотов по Кт 91-1 нет.</t>
  </si>
  <si>
    <t>Прочие операционные расходы</t>
  </si>
  <si>
    <t>Кроме процентов других расходов по сч. 91-2 нет.</t>
  </si>
  <si>
    <t>3. Внереализационные доходы и расходы</t>
  </si>
  <si>
    <t>Прибыль до налогообложения (строки 050 + 060 – 070 + 080 + 090 – 100 + 120 – 130)</t>
  </si>
  <si>
    <t>Сумма убытка от продаж и процентов к уплате. В ОСБ это сумма дебетовых оборотов по сч. 99 в корреспонденции с 90-9 и 91-9</t>
  </si>
  <si>
    <t>Налог на прибыль и иные аналогичные обязательные платежи (налог на имущество)</t>
  </si>
  <si>
    <t>Убыток от обычной деятельности</t>
  </si>
  <si>
    <t>Чистаый убыток отчетного периода (160+170-180)</t>
  </si>
  <si>
    <t>Соответствует сумме, списанной на счёт 84</t>
  </si>
  <si>
    <t>Мы в убытке</t>
  </si>
  <si>
    <t>на начало отченого периода</t>
  </si>
  <si>
    <t>на конец отченого периода</t>
  </si>
  <si>
    <t>Выводы</t>
  </si>
  <si>
    <t>Платежеспособность, %</t>
  </si>
  <si>
    <t>DAR</t>
  </si>
  <si>
    <t>Очень низкая доля обязательств в активах. Предприятие практически не зависит от заёмных средств. Финансовая устойчивость высокая.</t>
  </si>
  <si>
    <t>DER</t>
  </si>
  <si>
    <t>На 1 рубль собственного капитала приходится 7 копеек заёмного. Минимальный финансовый риск.</t>
  </si>
  <si>
    <t>TIE</t>
  </si>
  <si>
    <t>Отрицательное значение из-за убытка. Операционная деятельность не покрывает проценты. Необходимо восстановление прибыльности.</t>
  </si>
  <si>
    <t>Ликвидность</t>
  </si>
  <si>
    <t>CR</t>
  </si>
  <si>
    <t>Текущая ликвидность выше нормы (1,5–2). Оборотных активов достаточно для погашения краткосрочных обязательств.</t>
  </si>
  <si>
    <t>QR</t>
  </si>
  <si>
    <t>Критически низкая быстрая ликвидность. Практически отсутствуют ликвидные активы (деньги + дебиторка) для срочного погашения долгов.</t>
  </si>
  <si>
    <t>AR</t>
  </si>
  <si>
    <t>Абсолютная ликвидность ниже нормы (≥0,2). Денежных средств недостаточно для немедленной оплаты обязательств.</t>
  </si>
  <si>
    <t>NWC, тыс. руб.</t>
  </si>
  <si>
    <t>Чистый оборотный капитал положительный. Предприятие имеет собственные оборотные средства, краткосрочная платёжеспособность обеспечена.</t>
  </si>
  <si>
    <t>Рентабельность, %</t>
  </si>
  <si>
    <t>ROA</t>
  </si>
  <si>
    <t>Убыточность активов. Каждый рубль активов приносит 11 копеек убытка. Эффективность использования имущества низкая.</t>
  </si>
  <si>
    <t>ROE</t>
  </si>
  <si>
    <t>Убыточность собственного капитала. Собственники не получают отдачи на вложенные средства.</t>
  </si>
  <si>
    <t>ROIC</t>
  </si>
  <si>
    <t>Инвестированный капитал используется неэффективно, совокупная отдача отрицательная.</t>
  </si>
  <si>
    <t>GPM</t>
  </si>
  <si>
    <t>н.д</t>
  </si>
  <si>
    <t>Валовая рентабельность не рассчитывается из-за отсутствия выручки.</t>
  </si>
  <si>
    <t>Деловая активность</t>
  </si>
  <si>
    <t>RT</t>
  </si>
  <si>
    <t>Оборачиваемость дебиторской задолженности условно равна 1 (дебиторка отсутствует или минимальна). Покупатели платят сразу.</t>
  </si>
  <si>
    <t>CP, день</t>
  </si>
  <si>
    <t>Период инкассации дебиторской задолженности нулевой, что подтверждает отсутствие коммерческого кредитования.</t>
  </si>
  <si>
    <t>Риск банкротства Zo</t>
  </si>
  <si>
    <t>Значение &gt;2,9 указывает на низкую вероятность банкротства. Несмотря на убытки, структура баланса (высокий собственный капитал, низкие долги) обеспечивает финансовую устойчивость.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</si>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</sst>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\.00_);[Red]\(0\.00\)"/>
    <numFmt numFmtId="181" formatCode="dd\.mm\.yyyy"/>
  </numFmts>
  <fonts count="39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204"/>
    </font>
    <font>
      <b/>
      <sz val="14"/>
      <color theme="1"/>
      <name val="Times New Roman"/>
      <charset val="134"/>
    </font>
    <font>
      <sz val="14"/>
      <color theme="1"/>
      <name val="Times New Roman"/>
      <charset val="204"/>
    </font>
    <font>
      <sz val="14"/>
      <name val="Times New Roman"/>
      <charset val="134"/>
    </font>
    <font>
      <sz val="14"/>
      <name val="Times New Roman"/>
      <charset val="204"/>
    </font>
    <font>
      <b/>
      <sz val="14"/>
      <name val="Times New Roman"/>
      <charset val="204"/>
    </font>
    <font>
      <sz val="11.25"/>
      <name val="Segoe UI"/>
      <charset val="134"/>
    </font>
    <font>
      <b/>
      <sz val="14"/>
      <name val="Times New Roman"/>
      <charset val="134"/>
    </font>
    <font>
      <sz val="1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.5"/>
      <name val="Times New Roman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75"/>
      <name val="Consola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9" fillId="7" borderId="9" applyNumberFormat="0" applyAlignment="0" applyProtection="0">
      <alignment vertical="center"/>
    </xf>
    <xf numFmtId="0" fontId="30" fillId="8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5" fillId="0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15" fillId="0" borderId="2" xfId="0" applyFont="1" applyFill="1" applyBorder="1" applyAlignment="1">
      <alignment horizontal="center" vertical="top"/>
    </xf>
    <xf numFmtId="49" fontId="15" fillId="0" borderId="2" xfId="0" applyNumberFormat="1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/>
    <xf numFmtId="49" fontId="11" fillId="0" borderId="2" xfId="0" applyNumberFormat="1" applyFont="1" applyFill="1" applyBorder="1" applyAlignment="1"/>
    <xf numFmtId="0" fontId="15" fillId="0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49" fontId="16" fillId="2" borderId="2" xfId="0" applyNumberFormat="1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0" fontId="0" fillId="2" borderId="0" xfId="0" applyNumberFormat="1" applyFill="1">
      <alignment vertical="center"/>
    </xf>
    <xf numFmtId="0" fontId="0" fillId="2" borderId="2" xfId="0" applyFont="1" applyFill="1" applyBorder="1">
      <alignment vertical="center"/>
    </xf>
    <xf numFmtId="0" fontId="0" fillId="2" borderId="2" xfId="0" applyNumberFormat="1" applyFont="1" applyFill="1" applyBorder="1">
      <alignment vertical="center"/>
    </xf>
    <xf numFmtId="49" fontId="16" fillId="2" borderId="5" xfId="0" applyNumberFormat="1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5" xfId="0" applyNumberFormat="1" applyFill="1" applyBorder="1">
      <alignment vertical="center"/>
    </xf>
    <xf numFmtId="49" fontId="0" fillId="0" borderId="2" xfId="0" applyNumberFormat="1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NumberFormat="1" applyFill="1" applyBorder="1">
      <alignment vertical="center"/>
    </xf>
    <xf numFmtId="49" fontId="0" fillId="2" borderId="2" xfId="0" applyNumberFormat="1" applyFill="1" applyBorder="1">
      <alignment vertical="center"/>
    </xf>
    <xf numFmtId="49" fontId="0" fillId="3" borderId="2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left" vertical="top" wrapText="1"/>
    </xf>
    <xf numFmtId="181" fontId="12" fillId="0" borderId="2" xfId="0" applyNumberFormat="1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81" fontId="12" fillId="0" borderId="2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18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2" fillId="0" borderId="2" xfId="0" applyFont="1" applyBorder="1" applyAlignment="1" quotePrefix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571500</xdr:colOff>
      <xdr:row>1</xdr:row>
      <xdr:rowOff>19050</xdr:rowOff>
    </xdr:from>
    <xdr:ext cx="4989830" cy="273685"/>
    <xdr:sp>
      <xdr:nvSpPr>
        <xdr:cNvPr id="2" name="Текстовое поле 1"/>
        <xdr:cNvSpPr txBox="1"/>
      </xdr:nvSpPr>
      <xdr:spPr>
        <a:xfrm>
          <a:off x="571500" y="209550"/>
          <a:ext cx="498983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Я решил разделить таблицу по операциям, т.к так удобнее отслеживать процесс</a:t>
          </a:r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"/>
  <sheetViews>
    <sheetView topLeftCell="A3" workbookViewId="0">
      <selection activeCell="J10" sqref="J10"/>
    </sheetView>
  </sheetViews>
  <sheetFormatPr defaultColWidth="9.14285714285714" defaultRowHeight="15" outlineLevelCol="7"/>
  <cols>
    <col min="2" max="2" width="15.2857142857143" customWidth="1"/>
    <col min="3" max="3" width="28.4285714285714" customWidth="1"/>
    <col min="4" max="5" width="16.7142857142857" customWidth="1"/>
  </cols>
  <sheetData>
    <row r="1" spans="3:8">
      <c r="C1" t="s">
        <v>0</v>
      </c>
      <c r="E1" t="s">
        <v>1</v>
      </c>
      <c r="H1">
        <v>932204</v>
      </c>
    </row>
    <row r="2" spans="2:5">
      <c r="B2" s="100" t="s">
        <v>2</v>
      </c>
      <c r="C2" s="100" t="s">
        <v>3</v>
      </c>
      <c r="D2" s="100" t="s">
        <v>4</v>
      </c>
      <c r="E2" s="100" t="s">
        <v>5</v>
      </c>
    </row>
    <row r="3" spans="2:5">
      <c r="B3" s="101">
        <v>1</v>
      </c>
      <c r="C3" s="101" t="s">
        <v>6</v>
      </c>
      <c r="D3">
        <v>3796966.7</v>
      </c>
      <c r="E3" s="101"/>
    </row>
    <row r="4" spans="2:5">
      <c r="B4" s="101">
        <v>2</v>
      </c>
      <c r="C4" s="101" t="s">
        <v>7</v>
      </c>
      <c r="D4" s="101">
        <v>11363</v>
      </c>
      <c r="E4" s="101"/>
    </row>
    <row r="5" spans="2:5">
      <c r="B5" s="101">
        <v>50</v>
      </c>
      <c r="C5" s="101" t="s">
        <v>8</v>
      </c>
      <c r="D5" s="101">
        <v>11899.59</v>
      </c>
      <c r="E5" s="101"/>
    </row>
    <row r="6" spans="2:5">
      <c r="B6" s="101">
        <v>51</v>
      </c>
      <c r="C6" s="101" t="s">
        <v>9</v>
      </c>
      <c r="D6" s="101">
        <v>151321.74</v>
      </c>
      <c r="E6" s="101"/>
    </row>
    <row r="7" spans="2:5">
      <c r="B7" s="101">
        <v>55</v>
      </c>
      <c r="C7" s="101" t="s">
        <v>10</v>
      </c>
      <c r="D7" s="101">
        <v>27500</v>
      </c>
      <c r="E7" s="101"/>
    </row>
    <row r="8" spans="2:5">
      <c r="B8" s="101">
        <v>62</v>
      </c>
      <c r="C8" s="101" t="s">
        <v>11</v>
      </c>
      <c r="D8" s="101">
        <v>1024000</v>
      </c>
      <c r="E8" s="101"/>
    </row>
    <row r="9" spans="2:5">
      <c r="B9" s="101">
        <v>71</v>
      </c>
      <c r="C9" s="101" t="s">
        <v>12</v>
      </c>
      <c r="D9" s="101">
        <v>305.97</v>
      </c>
      <c r="E9" s="101"/>
    </row>
    <row r="10" ht="30" spans="2:5">
      <c r="B10" s="101">
        <v>66</v>
      </c>
      <c r="C10" s="101" t="s">
        <v>13</v>
      </c>
      <c r="D10" s="101"/>
      <c r="E10" s="101">
        <v>19748.16</v>
      </c>
    </row>
    <row r="11" spans="2:5">
      <c r="B11" s="101">
        <v>68</v>
      </c>
      <c r="C11" s="101" t="s">
        <v>14</v>
      </c>
      <c r="D11" s="101"/>
      <c r="E11" s="101">
        <v>114466.7</v>
      </c>
    </row>
    <row r="12" spans="2:5">
      <c r="B12" s="101">
        <v>69</v>
      </c>
      <c r="C12" s="101" t="s">
        <v>15</v>
      </c>
      <c r="D12" s="101"/>
      <c r="E12" s="101">
        <v>43480.97</v>
      </c>
    </row>
    <row r="13" spans="2:5">
      <c r="B13" s="101">
        <v>80</v>
      </c>
      <c r="C13" s="101" t="s">
        <v>16</v>
      </c>
      <c r="D13" s="101"/>
      <c r="E13" s="101">
        <v>4569350.31</v>
      </c>
    </row>
    <row r="14" spans="2:5">
      <c r="B14" s="101">
        <v>82</v>
      </c>
      <c r="C14" s="101" t="s">
        <v>17</v>
      </c>
      <c r="D14" s="101"/>
      <c r="E14" s="101">
        <v>132500</v>
      </c>
    </row>
    <row r="15" spans="2:5">
      <c r="B15" s="101">
        <v>84</v>
      </c>
      <c r="C15" s="101" t="s">
        <v>18</v>
      </c>
      <c r="D15" s="101"/>
      <c r="E15" s="101">
        <v>121084.86</v>
      </c>
    </row>
    <row r="16" spans="2:5">
      <c r="B16" s="101"/>
      <c r="C16" s="102" t="s">
        <v>19</v>
      </c>
      <c r="D16" s="102">
        <v>5000631</v>
      </c>
      <c r="E16" s="102">
        <v>5000631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5"/>
  <sheetViews>
    <sheetView topLeftCell="A51" workbookViewId="0">
      <selection activeCell="G23" sqref="G23"/>
    </sheetView>
  </sheetViews>
  <sheetFormatPr defaultColWidth="9.14285714285714" defaultRowHeight="15"/>
  <cols>
    <col min="1" max="1" width="9.14285714285714" style="69"/>
    <col min="2" max="2" width="18.2857142857143" style="70" customWidth="1"/>
    <col min="3" max="3" width="15.1428571428571" style="70" customWidth="1"/>
    <col min="4" max="4" width="75.1428571428571" style="70" customWidth="1"/>
    <col min="5" max="5" width="13.2857142857143" style="70" customWidth="1"/>
    <col min="6" max="6" width="15.5714285714286" style="70" customWidth="1"/>
    <col min="7" max="7" width="16.1428571428571" style="70" customWidth="1"/>
    <col min="8" max="8" width="45.4285714285714" style="39" customWidth="1"/>
    <col min="9" max="16384" width="9.14285714285714" style="69"/>
  </cols>
  <sheetData>
    <row r="1" spans="2:7">
      <c r="B1" s="70" t="s">
        <v>0</v>
      </c>
      <c r="D1" s="70" t="s">
        <v>1</v>
      </c>
      <c r="G1" s="70">
        <v>932204</v>
      </c>
    </row>
    <row r="2" spans="6:6">
      <c r="F2" s="70" t="s">
        <v>20</v>
      </c>
    </row>
    <row r="3" spans="6:6">
      <c r="F3" s="70" t="s">
        <v>21</v>
      </c>
    </row>
    <row r="4" spans="2:2">
      <c r="B4" s="70" t="s">
        <v>22</v>
      </c>
    </row>
    <row r="5" spans="2:3">
      <c r="B5" s="71" t="s">
        <v>23</v>
      </c>
      <c r="C5" s="72" t="s">
        <v>24</v>
      </c>
    </row>
    <row r="6" spans="2:8">
      <c r="B6" s="73" t="s">
        <v>25</v>
      </c>
      <c r="C6" s="73" t="s">
        <v>26</v>
      </c>
      <c r="D6" s="73" t="s">
        <v>27</v>
      </c>
      <c r="E6" s="74" t="s">
        <v>28</v>
      </c>
      <c r="F6" s="74" t="s">
        <v>29</v>
      </c>
      <c r="G6" s="75" t="s">
        <v>30</v>
      </c>
      <c r="H6" s="76"/>
    </row>
    <row r="7" spans="2:7">
      <c r="B7" s="40">
        <v>1</v>
      </c>
      <c r="C7" s="77">
        <v>45931</v>
      </c>
      <c r="D7" s="33" t="s">
        <v>31</v>
      </c>
      <c r="E7" s="40">
        <v>51</v>
      </c>
      <c r="F7" s="40">
        <v>62</v>
      </c>
      <c r="G7" s="40">
        <f>'Остатки счетам баланса за 3 кв'!D8</f>
        <v>1024000</v>
      </c>
    </row>
    <row r="8" spans="2:8">
      <c r="B8" s="40">
        <v>2</v>
      </c>
      <c r="C8" s="77">
        <v>45931</v>
      </c>
      <c r="D8" s="33" t="s">
        <v>32</v>
      </c>
      <c r="E8" s="40" t="s">
        <v>33</v>
      </c>
      <c r="F8" s="40" t="s">
        <v>34</v>
      </c>
      <c r="G8" s="40">
        <f>1922</f>
        <v>1922</v>
      </c>
      <c r="H8" s="39" t="s">
        <v>35</v>
      </c>
    </row>
    <row r="9" spans="2:7">
      <c r="B9" s="40">
        <v>3</v>
      </c>
      <c r="C9" s="77">
        <v>45931</v>
      </c>
      <c r="D9" s="40" t="s">
        <v>36</v>
      </c>
      <c r="E9" s="73" t="s">
        <v>37</v>
      </c>
      <c r="F9" s="73">
        <v>51</v>
      </c>
      <c r="G9" s="78">
        <f>'Остатки счетам баланса за 3 кв'!E10</f>
        <v>19748.16</v>
      </c>
    </row>
    <row r="10" spans="2:8">
      <c r="B10" s="40">
        <v>4</v>
      </c>
      <c r="C10" s="77">
        <v>45931</v>
      </c>
      <c r="D10" s="40" t="s">
        <v>38</v>
      </c>
      <c r="E10" s="40" t="s">
        <v>34</v>
      </c>
      <c r="F10" s="40">
        <v>51</v>
      </c>
      <c r="G10" s="40">
        <f>G8</f>
        <v>1922</v>
      </c>
      <c r="H10" s="39" t="s">
        <v>39</v>
      </c>
    </row>
    <row r="11" spans="2:7">
      <c r="B11" s="40">
        <v>5</v>
      </c>
      <c r="C11" s="77">
        <v>45931</v>
      </c>
      <c r="D11" s="79" t="s">
        <v>40</v>
      </c>
      <c r="E11" s="79" t="s">
        <v>41</v>
      </c>
      <c r="F11" s="79" t="s">
        <v>42</v>
      </c>
      <c r="G11" s="40">
        <f>(2.2%/4)*('Остатки счетам баланса за 3 кв'!D3-'Остатки счетам баланса за 3 кв'!D4)</f>
        <v>20820.82035</v>
      </c>
    </row>
    <row r="12" spans="2:7">
      <c r="B12" s="40">
        <v>6</v>
      </c>
      <c r="C12" s="77">
        <v>45931</v>
      </c>
      <c r="D12" s="79" t="s">
        <v>43</v>
      </c>
      <c r="E12" s="79" t="s">
        <v>42</v>
      </c>
      <c r="F12" s="79">
        <v>51</v>
      </c>
      <c r="G12" s="40">
        <f>G11</f>
        <v>20820.82035</v>
      </c>
    </row>
    <row r="15" spans="2:3">
      <c r="B15" s="80" t="s">
        <v>44</v>
      </c>
      <c r="C15" s="81" t="s">
        <v>45</v>
      </c>
    </row>
    <row r="16" spans="2:7">
      <c r="B16" s="73" t="s">
        <v>25</v>
      </c>
      <c r="C16" s="73" t="s">
        <v>26</v>
      </c>
      <c r="D16" s="73" t="s">
        <v>27</v>
      </c>
      <c r="E16" s="74" t="s">
        <v>28</v>
      </c>
      <c r="F16" s="74" t="s">
        <v>29</v>
      </c>
      <c r="G16" s="75" t="s">
        <v>30</v>
      </c>
    </row>
    <row r="17" ht="15.75" spans="2:7">
      <c r="B17" s="73">
        <v>7</v>
      </c>
      <c r="C17" s="82">
        <v>45948</v>
      </c>
      <c r="D17" s="83" t="s">
        <v>46</v>
      </c>
      <c r="E17" s="73">
        <v>50</v>
      </c>
      <c r="F17" s="73">
        <v>51</v>
      </c>
      <c r="G17" s="78">
        <f>38250</f>
        <v>38250</v>
      </c>
    </row>
    <row r="18" spans="2:8">
      <c r="B18" s="73">
        <v>8</v>
      </c>
      <c r="C18" s="77">
        <v>45948</v>
      </c>
      <c r="D18" s="40" t="s">
        <v>47</v>
      </c>
      <c r="E18" s="40">
        <v>71</v>
      </c>
      <c r="F18" s="40">
        <v>50</v>
      </c>
      <c r="G18" s="40">
        <f>33700</f>
        <v>33700</v>
      </c>
      <c r="H18" s="39" t="s">
        <v>48</v>
      </c>
    </row>
    <row r="19" spans="2:8">
      <c r="B19" s="73">
        <v>9</v>
      </c>
      <c r="C19" s="77">
        <v>45952</v>
      </c>
      <c r="D19" s="33" t="s">
        <v>49</v>
      </c>
      <c r="E19" s="40">
        <v>44</v>
      </c>
      <c r="F19" s="40">
        <v>71</v>
      </c>
      <c r="G19" s="40">
        <f>G17-G21</f>
        <v>37748</v>
      </c>
      <c r="H19" s="39" t="s">
        <v>50</v>
      </c>
    </row>
    <row r="20" spans="2:8">
      <c r="B20" s="73">
        <v>10</v>
      </c>
      <c r="C20" s="77">
        <v>45952</v>
      </c>
      <c r="D20" s="33" t="s">
        <v>51</v>
      </c>
      <c r="E20" s="40">
        <v>19</v>
      </c>
      <c r="F20" s="40">
        <v>71</v>
      </c>
      <c r="G20" s="40">
        <f>502</f>
        <v>502</v>
      </c>
      <c r="H20" s="39" t="s">
        <v>52</v>
      </c>
    </row>
    <row r="21" spans="2:7">
      <c r="B21" s="73">
        <v>11</v>
      </c>
      <c r="C21" s="77">
        <v>45952</v>
      </c>
      <c r="D21" s="40" t="s">
        <v>53</v>
      </c>
      <c r="E21" s="40" t="s">
        <v>54</v>
      </c>
      <c r="F21" s="40">
        <v>19</v>
      </c>
      <c r="G21" s="40">
        <f>G20</f>
        <v>502</v>
      </c>
    </row>
    <row r="22" ht="44" customHeight="1" spans="2:8">
      <c r="B22" s="73">
        <v>12</v>
      </c>
      <c r="C22" s="77">
        <v>45953</v>
      </c>
      <c r="D22" s="33" t="s">
        <v>55</v>
      </c>
      <c r="E22" s="40">
        <v>71</v>
      </c>
      <c r="F22" s="40">
        <v>50</v>
      </c>
      <c r="G22" s="40">
        <f>G17-G18</f>
        <v>4550</v>
      </c>
      <c r="H22" s="39" t="s">
        <v>56</v>
      </c>
    </row>
    <row r="25" spans="2:3">
      <c r="B25" s="80" t="s">
        <v>57</v>
      </c>
      <c r="C25" s="81" t="s">
        <v>58</v>
      </c>
    </row>
    <row r="26" spans="2:7">
      <c r="B26" s="73" t="s">
        <v>25</v>
      </c>
      <c r="C26" s="73" t="s">
        <v>26</v>
      </c>
      <c r="D26" s="73" t="s">
        <v>27</v>
      </c>
      <c r="E26" s="74" t="s">
        <v>28</v>
      </c>
      <c r="F26" s="74" t="s">
        <v>29</v>
      </c>
      <c r="G26" s="75" t="s">
        <v>30</v>
      </c>
    </row>
    <row r="27" spans="2:8">
      <c r="B27" s="40">
        <v>13</v>
      </c>
      <c r="C27" s="84">
        <v>45980</v>
      </c>
      <c r="D27" s="79" t="s">
        <v>59</v>
      </c>
      <c r="E27" s="103" t="s">
        <v>60</v>
      </c>
      <c r="F27" s="40">
        <v>60</v>
      </c>
      <c r="G27" s="40">
        <f>G29/1.2</f>
        <v>188990</v>
      </c>
      <c r="H27" s="85" t="s">
        <v>61</v>
      </c>
    </row>
    <row r="28" spans="2:8">
      <c r="B28" s="40">
        <v>14</v>
      </c>
      <c r="C28" s="84">
        <v>45980</v>
      </c>
      <c r="D28" s="79" t="s">
        <v>62</v>
      </c>
      <c r="E28" s="86" t="s">
        <v>63</v>
      </c>
      <c r="F28" s="40">
        <v>60</v>
      </c>
      <c r="G28" s="40">
        <f>G29-G27</f>
        <v>37798</v>
      </c>
      <c r="H28" s="85" t="s">
        <v>64</v>
      </c>
    </row>
    <row r="29" spans="2:8">
      <c r="B29" s="40">
        <v>15</v>
      </c>
      <c r="C29" s="84">
        <v>45980</v>
      </c>
      <c r="D29" s="87" t="s">
        <v>65</v>
      </c>
      <c r="E29" s="40">
        <v>60</v>
      </c>
      <c r="F29" s="40">
        <v>51</v>
      </c>
      <c r="G29" s="79">
        <v>226788</v>
      </c>
      <c r="H29" s="85" t="s">
        <v>66</v>
      </c>
    </row>
    <row r="30" spans="2:8">
      <c r="B30" s="40">
        <v>16</v>
      </c>
      <c r="C30" s="84">
        <v>45980</v>
      </c>
      <c r="D30" s="79" t="s">
        <v>67</v>
      </c>
      <c r="E30" s="103" t="s">
        <v>60</v>
      </c>
      <c r="F30" s="40">
        <v>60</v>
      </c>
      <c r="G30" s="79">
        <f>28000</f>
        <v>28000</v>
      </c>
      <c r="H30" s="85" t="s">
        <v>68</v>
      </c>
    </row>
    <row r="31" spans="2:8">
      <c r="B31" s="40">
        <v>17</v>
      </c>
      <c r="C31" s="84">
        <v>45980</v>
      </c>
      <c r="D31" s="79" t="s">
        <v>69</v>
      </c>
      <c r="E31" s="40">
        <v>60</v>
      </c>
      <c r="F31" s="40">
        <v>51</v>
      </c>
      <c r="G31" s="40">
        <f>G30</f>
        <v>28000</v>
      </c>
      <c r="H31" s="85" t="s">
        <v>70</v>
      </c>
    </row>
    <row r="32" spans="2:8">
      <c r="B32" s="40">
        <v>18</v>
      </c>
      <c r="C32" s="84">
        <v>45980</v>
      </c>
      <c r="D32" s="79" t="s">
        <v>71</v>
      </c>
      <c r="E32" s="86" t="s">
        <v>72</v>
      </c>
      <c r="F32" s="103" t="s">
        <v>60</v>
      </c>
      <c r="G32" s="40">
        <f>G27+G30</f>
        <v>216990</v>
      </c>
      <c r="H32" s="85" t="s">
        <v>73</v>
      </c>
    </row>
    <row r="33" ht="45" spans="2:9">
      <c r="B33" s="88"/>
      <c r="C33" s="89"/>
      <c r="D33" s="90"/>
      <c r="E33" s="88"/>
      <c r="F33" s="88"/>
      <c r="G33" s="88"/>
      <c r="H33" s="91" t="s">
        <v>74</v>
      </c>
      <c r="I33" s="69" t="s">
        <v>75</v>
      </c>
    </row>
    <row r="35" spans="2:3">
      <c r="B35" s="80" t="s">
        <v>76</v>
      </c>
      <c r="C35" s="81" t="s">
        <v>77</v>
      </c>
    </row>
    <row r="36" spans="2:7">
      <c r="B36" s="73" t="s">
        <v>25</v>
      </c>
      <c r="C36" s="73" t="s">
        <v>26</v>
      </c>
      <c r="D36" s="73" t="s">
        <v>27</v>
      </c>
      <c r="E36" s="74" t="s">
        <v>28</v>
      </c>
      <c r="F36" s="74" t="s">
        <v>29</v>
      </c>
      <c r="G36" s="75" t="s">
        <v>30</v>
      </c>
    </row>
    <row r="37" spans="2:8">
      <c r="B37" s="40">
        <v>19</v>
      </c>
      <c r="C37" s="84">
        <v>45965</v>
      </c>
      <c r="D37" s="79" t="s">
        <v>78</v>
      </c>
      <c r="E37" s="40">
        <v>50</v>
      </c>
      <c r="F37" s="40">
        <v>51</v>
      </c>
      <c r="G37" s="40">
        <v>45000</v>
      </c>
      <c r="H37" s="92" t="s">
        <v>79</v>
      </c>
    </row>
    <row r="38" spans="2:8">
      <c r="B38" s="40">
        <v>20</v>
      </c>
      <c r="C38" s="84">
        <v>45965</v>
      </c>
      <c r="D38" s="87" t="s">
        <v>80</v>
      </c>
      <c r="E38" s="40">
        <v>71</v>
      </c>
      <c r="F38" s="40">
        <v>50</v>
      </c>
      <c r="G38" s="40">
        <f>G37</f>
        <v>45000</v>
      </c>
      <c r="H38" s="85" t="s">
        <v>81</v>
      </c>
    </row>
    <row r="41" spans="2:3">
      <c r="B41" s="80" t="s">
        <v>82</v>
      </c>
      <c r="C41" s="81" t="s">
        <v>83</v>
      </c>
    </row>
    <row r="42" spans="2:7">
      <c r="B42" s="73" t="s">
        <v>25</v>
      </c>
      <c r="C42" s="73" t="s">
        <v>26</v>
      </c>
      <c r="D42" s="73" t="s">
        <v>27</v>
      </c>
      <c r="E42" s="74" t="s">
        <v>28</v>
      </c>
      <c r="F42" s="74" t="s">
        <v>29</v>
      </c>
      <c r="G42" s="75" t="s">
        <v>30</v>
      </c>
    </row>
    <row r="43" spans="2:8">
      <c r="B43" s="40">
        <v>21</v>
      </c>
      <c r="C43" s="84">
        <v>45978</v>
      </c>
      <c r="D43" s="79" t="s">
        <v>84</v>
      </c>
      <c r="E43" s="40">
        <v>26</v>
      </c>
      <c r="F43" s="40">
        <v>71</v>
      </c>
      <c r="G43" s="40">
        <f>40725</f>
        <v>40725</v>
      </c>
      <c r="H43" s="85" t="s">
        <v>84</v>
      </c>
    </row>
    <row r="44" spans="2:8">
      <c r="B44" s="40">
        <v>22</v>
      </c>
      <c r="C44" s="84">
        <v>45978</v>
      </c>
      <c r="D44" s="79" t="s">
        <v>85</v>
      </c>
      <c r="E44" s="40" t="s">
        <v>86</v>
      </c>
      <c r="F44" s="40">
        <v>51</v>
      </c>
      <c r="G44" s="40">
        <f>205800</f>
        <v>205800</v>
      </c>
      <c r="H44" s="85" t="s">
        <v>85</v>
      </c>
    </row>
    <row r="45" spans="2:8">
      <c r="B45" s="40">
        <v>23</v>
      </c>
      <c r="C45" s="84">
        <v>45978</v>
      </c>
      <c r="D45" s="79" t="s">
        <v>87</v>
      </c>
      <c r="E45" s="79">
        <v>60</v>
      </c>
      <c r="F45" s="79" t="s">
        <v>86</v>
      </c>
      <c r="G45" s="79">
        <f>G44</f>
        <v>205800</v>
      </c>
      <c r="H45" s="85" t="s">
        <v>87</v>
      </c>
    </row>
    <row r="46" spans="2:8">
      <c r="B46" s="40">
        <v>24</v>
      </c>
      <c r="C46" s="84">
        <v>45978</v>
      </c>
      <c r="D46" s="79" t="s">
        <v>88</v>
      </c>
      <c r="E46" s="79">
        <v>10</v>
      </c>
      <c r="F46" s="79">
        <v>60</v>
      </c>
      <c r="G46" s="79">
        <f>G45/1.2</f>
        <v>171500</v>
      </c>
      <c r="H46" s="85" t="s">
        <v>88</v>
      </c>
    </row>
    <row r="47" spans="2:8">
      <c r="B47" s="40">
        <v>25</v>
      </c>
      <c r="C47" s="84">
        <v>45978</v>
      </c>
      <c r="D47" s="79" t="s">
        <v>89</v>
      </c>
      <c r="E47" s="93" t="s">
        <v>90</v>
      </c>
      <c r="F47" s="79">
        <v>60</v>
      </c>
      <c r="G47" s="79">
        <f>G44-G46</f>
        <v>34300</v>
      </c>
      <c r="H47" s="85" t="s">
        <v>89</v>
      </c>
    </row>
    <row r="48" spans="2:8">
      <c r="B48" s="40">
        <v>26</v>
      </c>
      <c r="C48" s="84">
        <v>45978</v>
      </c>
      <c r="D48" s="79" t="s">
        <v>91</v>
      </c>
      <c r="E48" s="79">
        <v>20</v>
      </c>
      <c r="F48" s="79">
        <v>10</v>
      </c>
      <c r="G48" s="79">
        <v>170547</v>
      </c>
      <c r="H48" s="85" t="s">
        <v>91</v>
      </c>
    </row>
    <row r="49" spans="2:8">
      <c r="B49" s="40">
        <v>27</v>
      </c>
      <c r="C49" s="84">
        <v>45978</v>
      </c>
      <c r="D49" s="87" t="s">
        <v>92</v>
      </c>
      <c r="E49" s="79" t="s">
        <v>54</v>
      </c>
      <c r="F49" s="93" t="s">
        <v>90</v>
      </c>
      <c r="G49" s="79">
        <f>G47*G48/G46</f>
        <v>34109.4</v>
      </c>
      <c r="H49" s="85" t="s">
        <v>92</v>
      </c>
    </row>
    <row r="50" spans="2:8">
      <c r="B50" s="40">
        <v>28</v>
      </c>
      <c r="C50" s="84">
        <v>46022</v>
      </c>
      <c r="D50" s="79" t="s">
        <v>93</v>
      </c>
      <c r="E50" s="40">
        <v>20</v>
      </c>
      <c r="F50" s="103" t="s">
        <v>94</v>
      </c>
      <c r="G50" s="40">
        <f>2693000/8/4</f>
        <v>84156.25</v>
      </c>
      <c r="H50" s="85" t="s">
        <v>93</v>
      </c>
    </row>
    <row r="51" spans="2:8">
      <c r="B51" s="40">
        <v>29</v>
      </c>
      <c r="C51" s="84">
        <v>46022</v>
      </c>
      <c r="D51" s="87" t="s">
        <v>95</v>
      </c>
      <c r="E51" s="40">
        <v>26</v>
      </c>
      <c r="F51" s="103" t="s">
        <v>94</v>
      </c>
      <c r="G51" s="79">
        <f>('Остатки счетам баланса за 3 кв'!D3-2693000)*0.05/4</f>
        <v>13799.58375</v>
      </c>
      <c r="H51" s="85" t="s">
        <v>95</v>
      </c>
    </row>
    <row r="53" spans="4:4">
      <c r="D53" s="94"/>
    </row>
    <row r="54" spans="2:3">
      <c r="B54" s="80" t="s">
        <v>96</v>
      </c>
      <c r="C54" s="70" t="s">
        <v>97</v>
      </c>
    </row>
    <row r="55" spans="2:7">
      <c r="B55" s="73" t="s">
        <v>25</v>
      </c>
      <c r="C55" s="73" t="s">
        <v>26</v>
      </c>
      <c r="D55" s="73" t="s">
        <v>27</v>
      </c>
      <c r="E55" s="74" t="s">
        <v>28</v>
      </c>
      <c r="F55" s="74" t="s">
        <v>29</v>
      </c>
      <c r="G55" s="75" t="s">
        <v>30</v>
      </c>
    </row>
    <row r="56" spans="2:7">
      <c r="B56" s="40">
        <v>30</v>
      </c>
      <c r="C56" s="84">
        <v>46010</v>
      </c>
      <c r="D56" s="79" t="s">
        <v>98</v>
      </c>
      <c r="E56" s="40">
        <v>44</v>
      </c>
      <c r="F56" s="40">
        <v>60</v>
      </c>
      <c r="G56" s="40">
        <f>G58/1.2</f>
        <v>43333.3333333333</v>
      </c>
    </row>
    <row r="57" spans="2:7">
      <c r="B57" s="40">
        <v>31</v>
      </c>
      <c r="C57" s="84">
        <v>46010</v>
      </c>
      <c r="D57" s="79" t="s">
        <v>99</v>
      </c>
      <c r="E57" s="86" t="s">
        <v>90</v>
      </c>
      <c r="F57" s="40">
        <v>60</v>
      </c>
      <c r="G57" s="40">
        <f>G58-G56</f>
        <v>8666.66666666666</v>
      </c>
    </row>
    <row r="58" spans="2:7">
      <c r="B58" s="40">
        <v>32</v>
      </c>
      <c r="C58" s="84">
        <v>46010</v>
      </c>
      <c r="D58" s="79" t="s">
        <v>100</v>
      </c>
      <c r="E58" s="40">
        <v>60</v>
      </c>
      <c r="F58" s="40">
        <v>51</v>
      </c>
      <c r="G58" s="40">
        <f>52000</f>
        <v>52000</v>
      </c>
    </row>
    <row r="59" spans="2:7">
      <c r="B59" s="40">
        <v>33</v>
      </c>
      <c r="C59" s="84">
        <v>46016</v>
      </c>
      <c r="D59" s="79" t="s">
        <v>101</v>
      </c>
      <c r="E59" s="40" t="s">
        <v>54</v>
      </c>
      <c r="F59" s="86" t="s">
        <v>90</v>
      </c>
      <c r="G59" s="40">
        <f>G58-G56</f>
        <v>8666.66666666666</v>
      </c>
    </row>
    <row r="62" spans="2:3">
      <c r="B62" s="80" t="s">
        <v>102</v>
      </c>
      <c r="C62" t="s">
        <v>103</v>
      </c>
    </row>
    <row r="63" spans="2:7">
      <c r="B63" s="73" t="s">
        <v>25</v>
      </c>
      <c r="C63" s="73" t="s">
        <v>26</v>
      </c>
      <c r="D63" s="73" t="s">
        <v>27</v>
      </c>
      <c r="E63" s="74" t="s">
        <v>28</v>
      </c>
      <c r="F63" s="74" t="s">
        <v>29</v>
      </c>
      <c r="G63" s="75" t="s">
        <v>30</v>
      </c>
    </row>
    <row r="64" spans="2:8">
      <c r="B64" s="40">
        <v>34</v>
      </c>
      <c r="C64" s="84">
        <v>46015</v>
      </c>
      <c r="D64" s="79" t="s">
        <v>104</v>
      </c>
      <c r="E64" s="40">
        <v>20</v>
      </c>
      <c r="F64" s="40">
        <v>70</v>
      </c>
      <c r="G64" s="40">
        <f>291000</f>
        <v>291000</v>
      </c>
      <c r="H64" t="s">
        <v>105</v>
      </c>
    </row>
    <row r="65" spans="2:8">
      <c r="B65" s="40">
        <v>35</v>
      </c>
      <c r="C65" s="84">
        <v>46015</v>
      </c>
      <c r="D65" s="79" t="s">
        <v>106</v>
      </c>
      <c r="E65" s="40">
        <v>26</v>
      </c>
      <c r="F65" s="40">
        <v>70</v>
      </c>
      <c r="G65" s="40">
        <f>269820</f>
        <v>269820</v>
      </c>
      <c r="H65" t="s">
        <v>107</v>
      </c>
    </row>
    <row r="66" spans="2:8">
      <c r="B66" s="40">
        <v>36</v>
      </c>
      <c r="C66" s="84">
        <v>46015</v>
      </c>
      <c r="D66" s="79" t="s">
        <v>108</v>
      </c>
      <c r="E66" s="40">
        <v>20</v>
      </c>
      <c r="F66" s="40">
        <v>69</v>
      </c>
      <c r="G66" s="40">
        <f>G64*30.2%</f>
        <v>87882</v>
      </c>
      <c r="H66" t="s">
        <v>109</v>
      </c>
    </row>
    <row r="67" spans="2:8">
      <c r="B67" s="40">
        <v>37</v>
      </c>
      <c r="C67" s="84">
        <v>46015</v>
      </c>
      <c r="D67" s="40" t="s">
        <v>110</v>
      </c>
      <c r="E67" s="40">
        <v>26</v>
      </c>
      <c r="F67" s="40">
        <v>69</v>
      </c>
      <c r="G67" s="40">
        <f>G65*30.2%</f>
        <v>81485.64</v>
      </c>
      <c r="H67" t="s">
        <v>111</v>
      </c>
    </row>
    <row r="68" ht="45" spans="2:8">
      <c r="B68" s="40">
        <v>38</v>
      </c>
      <c r="C68" s="84">
        <v>46015</v>
      </c>
      <c r="D68" s="79" t="s">
        <v>112</v>
      </c>
      <c r="E68" s="40">
        <v>70</v>
      </c>
      <c r="F68" s="40" t="s">
        <v>113</v>
      </c>
      <c r="G68" s="40">
        <f>((((G65+G64)-((1400+2800+6000)*3))*13%))</f>
        <v>68928.6</v>
      </c>
      <c r="H68" s="95" t="s">
        <v>114</v>
      </c>
    </row>
    <row r="69" ht="30" spans="2:8">
      <c r="B69" s="40">
        <v>39</v>
      </c>
      <c r="C69" s="84">
        <v>46016</v>
      </c>
      <c r="D69" s="79" t="s">
        <v>115</v>
      </c>
      <c r="E69" s="40">
        <v>70</v>
      </c>
      <c r="F69" s="40">
        <v>51</v>
      </c>
      <c r="G69" s="40">
        <f>G64+G65-G68</f>
        <v>491891.4</v>
      </c>
      <c r="H69" s="96" t="s">
        <v>116</v>
      </c>
    </row>
    <row r="70" ht="60" spans="2:8">
      <c r="B70" s="40">
        <v>40</v>
      </c>
      <c r="C70" s="84">
        <v>46016</v>
      </c>
      <c r="D70" s="79" t="s">
        <v>117</v>
      </c>
      <c r="E70" s="40">
        <v>69</v>
      </c>
      <c r="F70" s="40">
        <v>51</v>
      </c>
      <c r="G70" s="40">
        <f>(G64+G65)*30.2%</f>
        <v>169367.64</v>
      </c>
      <c r="H70" s="97" t="s">
        <v>118</v>
      </c>
    </row>
    <row r="71" ht="45" spans="2:8">
      <c r="B71" s="40">
        <v>41</v>
      </c>
      <c r="C71" s="84">
        <v>46016</v>
      </c>
      <c r="D71" s="79" t="s">
        <v>119</v>
      </c>
      <c r="E71" s="40" t="s">
        <v>120</v>
      </c>
      <c r="F71" s="40">
        <v>51</v>
      </c>
      <c r="G71" s="40">
        <f>G68</f>
        <v>68928.6</v>
      </c>
      <c r="H71" s="98" t="s">
        <v>121</v>
      </c>
    </row>
    <row r="74" spans="2:3">
      <c r="B74" s="80" t="s">
        <v>122</v>
      </c>
      <c r="C74" t="s">
        <v>123</v>
      </c>
    </row>
    <row r="75" ht="136" customHeight="1" spans="2:8">
      <c r="B75" s="73" t="s">
        <v>25</v>
      </c>
      <c r="C75" s="73" t="s">
        <v>26</v>
      </c>
      <c r="D75" s="73" t="s">
        <v>27</v>
      </c>
      <c r="E75" s="74" t="s">
        <v>28</v>
      </c>
      <c r="F75" s="74" t="s">
        <v>29</v>
      </c>
      <c r="G75" s="75" t="s">
        <v>30</v>
      </c>
      <c r="H75" s="98" t="s">
        <v>124</v>
      </c>
    </row>
    <row r="76" ht="60" spans="2:8">
      <c r="B76" s="40">
        <v>42</v>
      </c>
      <c r="C76" s="84">
        <v>46017</v>
      </c>
      <c r="D76" s="87" t="s">
        <v>125</v>
      </c>
      <c r="E76" s="40">
        <v>43</v>
      </c>
      <c r="F76" s="40">
        <v>20</v>
      </c>
      <c r="G76" s="40">
        <f>(G48+G50+G66+G64)*80%</f>
        <v>506868.2</v>
      </c>
      <c r="H76" s="98" t="s">
        <v>126</v>
      </c>
    </row>
    <row r="79" spans="2:2">
      <c r="B79" s="99" t="s">
        <v>127</v>
      </c>
    </row>
    <row r="80" spans="2:7">
      <c r="B80" s="73" t="s">
        <v>25</v>
      </c>
      <c r="C80" s="73" t="s">
        <v>26</v>
      </c>
      <c r="D80" s="73" t="s">
        <v>27</v>
      </c>
      <c r="E80" s="74" t="s">
        <v>28</v>
      </c>
      <c r="F80" s="74" t="s">
        <v>29</v>
      </c>
      <c r="G80" s="75" t="s">
        <v>30</v>
      </c>
    </row>
    <row r="81" spans="2:7">
      <c r="B81" s="40">
        <v>43</v>
      </c>
      <c r="C81" s="84">
        <v>46022</v>
      </c>
      <c r="D81" s="87" t="s">
        <v>128</v>
      </c>
      <c r="E81" s="40" t="s">
        <v>129</v>
      </c>
      <c r="F81" s="40">
        <v>44</v>
      </c>
      <c r="G81" s="40">
        <f>G56+G19</f>
        <v>81081.3333333333</v>
      </c>
    </row>
    <row r="82" spans="2:7">
      <c r="B82" s="40">
        <v>44</v>
      </c>
      <c r="C82" s="84">
        <v>46022</v>
      </c>
      <c r="D82" s="87" t="s">
        <v>130</v>
      </c>
      <c r="E82" s="40" t="s">
        <v>129</v>
      </c>
      <c r="F82" s="40">
        <v>26</v>
      </c>
      <c r="G82" s="40">
        <f>G43+G65+G67+G51</f>
        <v>405830.22375</v>
      </c>
    </row>
    <row r="83" ht="45" spans="2:8">
      <c r="B83" s="40">
        <v>45</v>
      </c>
      <c r="C83" s="84">
        <v>46022</v>
      </c>
      <c r="D83" s="79" t="s">
        <v>131</v>
      </c>
      <c r="E83" s="40">
        <v>99</v>
      </c>
      <c r="F83" s="40" t="s">
        <v>132</v>
      </c>
      <c r="G83" s="40">
        <f>G81+G82</f>
        <v>486911.557083333</v>
      </c>
      <c r="H83" s="91" t="s">
        <v>133</v>
      </c>
    </row>
    <row r="84" ht="60" spans="2:8">
      <c r="B84" s="40">
        <v>46</v>
      </c>
      <c r="C84" s="84">
        <v>46022</v>
      </c>
      <c r="D84" s="79" t="s">
        <v>134</v>
      </c>
      <c r="E84" s="40">
        <v>99</v>
      </c>
      <c r="F84" s="70" t="s">
        <v>135</v>
      </c>
      <c r="G84" s="40">
        <f>G8</f>
        <v>1922</v>
      </c>
      <c r="H84" s="95" t="s">
        <v>136</v>
      </c>
    </row>
    <row r="85" ht="60" spans="2:8">
      <c r="B85" s="40">
        <v>47</v>
      </c>
      <c r="C85" s="84">
        <v>46022</v>
      </c>
      <c r="D85" s="79" t="s">
        <v>137</v>
      </c>
      <c r="E85" s="40" t="s">
        <v>138</v>
      </c>
      <c r="F85" s="40">
        <v>99</v>
      </c>
      <c r="G85" s="40">
        <f>G83+G84+G11</f>
        <v>509654.377433333</v>
      </c>
      <c r="H85" s="91" t="s">
        <v>139</v>
      </c>
    </row>
  </sheetData>
  <mergeCells count="1">
    <mergeCell ref="B4:F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25"/>
  <sheetViews>
    <sheetView zoomScale="115" zoomScaleNormal="115" workbookViewId="0">
      <pane ySplit="3" topLeftCell="A14" activePane="bottomLeft" state="frozen"/>
      <selection/>
      <selection pane="bottomLeft" activeCell="G113" sqref="G113"/>
    </sheetView>
  </sheetViews>
  <sheetFormatPr defaultColWidth="9.14285714285714" defaultRowHeight="15"/>
  <cols>
    <col min="2" max="2" width="13.2857142857143" customWidth="1"/>
    <col min="3" max="3" width="12.8571428571429" style="44" customWidth="1"/>
    <col min="4" max="4" width="12.4285714285714" customWidth="1"/>
    <col min="5" max="5" width="13.1428571428571" customWidth="1"/>
    <col min="6" max="6" width="13.2857142857143" customWidth="1"/>
    <col min="7" max="7" width="13.8571428571429" customWidth="1"/>
    <col min="8" max="8" width="14.7142857142857" customWidth="1"/>
    <col min="9" max="9" width="15.8571428571429" customWidth="1"/>
  </cols>
  <sheetData>
    <row r="2" spans="2:9">
      <c r="B2" s="45" t="s">
        <v>140</v>
      </c>
      <c r="C2" s="46" t="s">
        <v>141</v>
      </c>
      <c r="D2" s="47" t="s">
        <v>142</v>
      </c>
      <c r="E2" s="48"/>
      <c r="F2" s="45" t="s">
        <v>143</v>
      </c>
      <c r="G2" s="48"/>
      <c r="H2" s="47" t="s">
        <v>144</v>
      </c>
      <c r="I2" s="48"/>
    </row>
    <row r="3" spans="2:9">
      <c r="B3" s="48"/>
      <c r="C3" s="49"/>
      <c r="D3" s="50" t="s">
        <v>145</v>
      </c>
      <c r="E3" s="50" t="s">
        <v>146</v>
      </c>
      <c r="F3" s="50" t="s">
        <v>145</v>
      </c>
      <c r="G3" s="50" t="s">
        <v>146</v>
      </c>
      <c r="H3" s="50" t="s">
        <v>145</v>
      </c>
      <c r="I3" s="50" t="s">
        <v>146</v>
      </c>
    </row>
    <row r="4" spans="2:10">
      <c r="B4" s="51">
        <v>1</v>
      </c>
      <c r="C4" s="52" t="s">
        <v>147</v>
      </c>
      <c r="D4" s="53">
        <f>'Остатки счетам баланса за 3 кв'!D3</f>
        <v>3796966.7</v>
      </c>
      <c r="E4" s="53"/>
      <c r="F4" s="53"/>
      <c r="G4" s="54"/>
      <c r="H4" s="55">
        <f>SUM(D4)</f>
        <v>3796966.7</v>
      </c>
      <c r="I4" s="53"/>
      <c r="J4" t="s">
        <v>148</v>
      </c>
    </row>
    <row r="5" spans="2:9">
      <c r="B5" s="51">
        <v>2</v>
      </c>
      <c r="C5" s="56" t="s">
        <v>149</v>
      </c>
      <c r="D5" s="51"/>
      <c r="E5" s="51"/>
      <c r="F5" s="51"/>
      <c r="G5" s="51">
        <f>'Книга учета хоз. операций'!G50</f>
        <v>84156.25</v>
      </c>
      <c r="H5" s="51"/>
      <c r="I5" s="51"/>
    </row>
    <row r="6" spans="2:9">
      <c r="B6" s="51">
        <v>3</v>
      </c>
      <c r="C6" s="56" t="s">
        <v>150</v>
      </c>
      <c r="D6" s="51"/>
      <c r="E6" s="51"/>
      <c r="F6" s="51"/>
      <c r="G6" s="51">
        <f>'Книга учета хоз. операций'!G51</f>
        <v>13799.58375</v>
      </c>
      <c r="H6" s="51"/>
      <c r="I6" s="51"/>
    </row>
    <row r="7" spans="2:9">
      <c r="B7" s="51">
        <v>4</v>
      </c>
      <c r="C7" s="52" t="s">
        <v>151</v>
      </c>
      <c r="D7" s="54"/>
      <c r="E7" s="53">
        <f>'Остатки счетам баланса за 3 кв'!D4</f>
        <v>11363</v>
      </c>
      <c r="F7" s="53"/>
      <c r="G7" s="57">
        <f>SUM(G5:G6)</f>
        <v>97955.83375</v>
      </c>
      <c r="H7" s="53"/>
      <c r="I7" s="53">
        <f>E7+G7</f>
        <v>109318.83375</v>
      </c>
    </row>
    <row r="8" spans="2:9">
      <c r="B8" s="51">
        <v>5</v>
      </c>
      <c r="C8" s="56" t="s">
        <v>152</v>
      </c>
      <c r="D8" s="51"/>
      <c r="E8" s="51"/>
      <c r="F8" s="51">
        <f>'Книга учета хоз. операций'!G27</f>
        <v>188990</v>
      </c>
      <c r="G8" s="51"/>
      <c r="H8" s="51"/>
      <c r="I8" s="51"/>
    </row>
    <row r="9" spans="2:9">
      <c r="B9" s="51">
        <v>6</v>
      </c>
      <c r="C9" s="56" t="s">
        <v>152</v>
      </c>
      <c r="D9" s="51"/>
      <c r="E9" s="51"/>
      <c r="F9" s="51">
        <f>'Книга учета хоз. операций'!G30</f>
        <v>28000</v>
      </c>
      <c r="G9" s="51"/>
      <c r="H9" s="51"/>
      <c r="I9" s="51"/>
    </row>
    <row r="10" spans="2:9">
      <c r="B10" s="51">
        <v>7</v>
      </c>
      <c r="C10" s="56" t="s">
        <v>153</v>
      </c>
      <c r="D10" s="51"/>
      <c r="E10" s="51"/>
      <c r="F10" s="51"/>
      <c r="G10" s="51">
        <f>'Книга учета хоз. операций'!G32</f>
        <v>216990</v>
      </c>
      <c r="H10" s="51"/>
      <c r="I10" s="51"/>
    </row>
    <row r="11" spans="2:9">
      <c r="B11" s="51">
        <v>8</v>
      </c>
      <c r="C11" s="52" t="s">
        <v>154</v>
      </c>
      <c r="D11" s="53"/>
      <c r="E11" s="53"/>
      <c r="F11" s="55">
        <f>SUM(F8:F9)</f>
        <v>216990</v>
      </c>
      <c r="G11" s="55">
        <f>SUM(G10)</f>
        <v>216990</v>
      </c>
      <c r="H11" s="53"/>
      <c r="I11" s="53"/>
    </row>
    <row r="12" spans="2:9">
      <c r="B12" s="51">
        <v>9</v>
      </c>
      <c r="C12" s="56" t="s">
        <v>155</v>
      </c>
      <c r="D12" s="51"/>
      <c r="E12" s="51"/>
      <c r="F12" s="51">
        <f>G10</f>
        <v>216990</v>
      </c>
      <c r="G12" s="51"/>
      <c r="H12" s="51"/>
      <c r="I12" s="51"/>
    </row>
    <row r="13" spans="2:9">
      <c r="B13" s="51">
        <v>10</v>
      </c>
      <c r="C13" s="52" t="s">
        <v>156</v>
      </c>
      <c r="D13" s="53"/>
      <c r="E13" s="53"/>
      <c r="F13" s="55">
        <f>SUM(F12)</f>
        <v>216990</v>
      </c>
      <c r="G13" s="53"/>
      <c r="H13" s="55">
        <f>SUM(F13)</f>
        <v>216990</v>
      </c>
      <c r="I13" s="53"/>
    </row>
    <row r="14" spans="2:9">
      <c r="B14" s="51">
        <v>11</v>
      </c>
      <c r="C14" s="56" t="s">
        <v>157</v>
      </c>
      <c r="D14" s="51"/>
      <c r="E14" s="51"/>
      <c r="F14" s="51">
        <f>'Книга учета хоз. операций'!G46</f>
        <v>171500</v>
      </c>
      <c r="G14" s="51"/>
      <c r="H14" s="51"/>
      <c r="I14" s="51"/>
    </row>
    <row r="15" spans="2:9">
      <c r="B15" s="51">
        <v>12</v>
      </c>
      <c r="C15" s="56" t="s">
        <v>158</v>
      </c>
      <c r="D15" s="51"/>
      <c r="E15" s="51"/>
      <c r="F15" s="51"/>
      <c r="G15" s="51">
        <f>'Книга учета хоз. операций'!G48</f>
        <v>170547</v>
      </c>
      <c r="H15" s="51"/>
      <c r="I15" s="51"/>
    </row>
    <row r="16" spans="2:9">
      <c r="B16" s="51">
        <v>13</v>
      </c>
      <c r="C16" s="52" t="s">
        <v>159</v>
      </c>
      <c r="D16" s="53"/>
      <c r="E16" s="53"/>
      <c r="F16" s="55">
        <f>SUM(F14)</f>
        <v>171500</v>
      </c>
      <c r="G16" s="55">
        <f>SUM(G15)</f>
        <v>170547</v>
      </c>
      <c r="H16" s="53">
        <f>F16-G16</f>
        <v>953</v>
      </c>
      <c r="I16" s="53"/>
    </row>
    <row r="17" spans="2:9">
      <c r="B17" s="51">
        <v>14</v>
      </c>
      <c r="C17" s="56" t="s">
        <v>160</v>
      </c>
      <c r="D17" s="51"/>
      <c r="E17" s="51"/>
      <c r="F17" s="51">
        <f>'Книга учета хоз. операций'!G20</f>
        <v>502</v>
      </c>
      <c r="G17" s="51"/>
      <c r="H17" s="51"/>
      <c r="I17" s="51"/>
    </row>
    <row r="18" spans="2:9">
      <c r="B18" s="51">
        <v>15</v>
      </c>
      <c r="C18" s="56" t="s">
        <v>161</v>
      </c>
      <c r="D18" s="51"/>
      <c r="E18" s="51"/>
      <c r="F18" s="51">
        <f>'Книга учета хоз. операций'!G28</f>
        <v>37798</v>
      </c>
      <c r="G18" s="51"/>
      <c r="H18" s="51"/>
      <c r="I18" s="51"/>
    </row>
    <row r="19" spans="2:9">
      <c r="B19" s="51">
        <v>16</v>
      </c>
      <c r="C19" s="56" t="s">
        <v>162</v>
      </c>
      <c r="D19" s="51"/>
      <c r="E19" s="51"/>
      <c r="F19" s="51">
        <f>'Книга учета хоз. операций'!G47</f>
        <v>34300</v>
      </c>
      <c r="G19" s="51"/>
      <c r="H19" s="51"/>
      <c r="I19" s="51"/>
    </row>
    <row r="20" spans="2:9">
      <c r="B20" s="51">
        <v>17</v>
      </c>
      <c r="C20" s="56" t="s">
        <v>162</v>
      </c>
      <c r="D20" s="51"/>
      <c r="E20" s="51"/>
      <c r="F20" s="51">
        <f>'Книга учета хоз. операций'!G59</f>
        <v>8666.66666666666</v>
      </c>
      <c r="G20" s="51"/>
      <c r="H20" s="51"/>
      <c r="I20" s="51"/>
    </row>
    <row r="21" spans="2:9">
      <c r="B21" s="51">
        <v>18</v>
      </c>
      <c r="C21" s="56" t="s">
        <v>163</v>
      </c>
      <c r="D21" s="51"/>
      <c r="E21" s="51"/>
      <c r="F21" s="51"/>
      <c r="G21" s="51">
        <f>'Книга учета хоз. операций'!G21</f>
        <v>502</v>
      </c>
      <c r="H21" s="51"/>
      <c r="I21" s="51"/>
    </row>
    <row r="22" spans="2:9">
      <c r="B22" s="51">
        <v>19</v>
      </c>
      <c r="C22" s="56" t="s">
        <v>164</v>
      </c>
      <c r="D22" s="51"/>
      <c r="E22" s="51"/>
      <c r="F22" s="51"/>
      <c r="G22" s="51">
        <f>'Книга учета хоз. операций'!G49</f>
        <v>34109.4</v>
      </c>
      <c r="H22" s="51"/>
      <c r="I22" s="51"/>
    </row>
    <row r="23" spans="2:9">
      <c r="B23" s="51">
        <v>20</v>
      </c>
      <c r="C23" s="56" t="s">
        <v>165</v>
      </c>
      <c r="D23" s="51"/>
      <c r="E23" s="51"/>
      <c r="F23" s="51"/>
      <c r="G23" s="51">
        <f>'Книга учета хоз. операций'!G59</f>
        <v>8666.66666666666</v>
      </c>
      <c r="H23" s="51"/>
      <c r="I23" s="51"/>
    </row>
    <row r="24" spans="2:10">
      <c r="B24" s="51">
        <v>21</v>
      </c>
      <c r="C24" s="52" t="s">
        <v>166</v>
      </c>
      <c r="D24" s="53"/>
      <c r="E24" s="53"/>
      <c r="F24" s="55">
        <f>SUM(F17:F20)</f>
        <v>81266.6666666667</v>
      </c>
      <c r="G24" s="55">
        <f>SUM(G21:G23)</f>
        <v>43278.0666666667</v>
      </c>
      <c r="H24" s="53">
        <f>F24-G24</f>
        <v>37988.6</v>
      </c>
      <c r="I24" s="53"/>
      <c r="J24" t="s">
        <v>167</v>
      </c>
    </row>
    <row r="25" spans="2:9">
      <c r="B25" s="51">
        <v>22</v>
      </c>
      <c r="C25" s="56" t="s">
        <v>168</v>
      </c>
      <c r="D25" s="51"/>
      <c r="E25" s="51"/>
      <c r="F25" s="51">
        <f>'Книга учета хоз. операций'!G48</f>
        <v>170547</v>
      </c>
      <c r="G25" s="51"/>
      <c r="H25" s="51"/>
      <c r="I25" s="51"/>
    </row>
    <row r="26" spans="2:9">
      <c r="B26" s="51">
        <v>23</v>
      </c>
      <c r="C26" s="56" t="s">
        <v>169</v>
      </c>
      <c r="D26" s="51"/>
      <c r="E26" s="51"/>
      <c r="F26" s="51">
        <f>'Книга учета хоз. операций'!G64</f>
        <v>291000</v>
      </c>
      <c r="G26" s="51"/>
      <c r="H26" s="51"/>
      <c r="I26" s="51"/>
    </row>
    <row r="27" spans="2:9">
      <c r="B27" s="51">
        <v>24</v>
      </c>
      <c r="C27" s="56" t="s">
        <v>170</v>
      </c>
      <c r="D27" s="51"/>
      <c r="E27" s="51"/>
      <c r="F27" s="51">
        <f>'Книга учета хоз. операций'!G66</f>
        <v>87882</v>
      </c>
      <c r="G27" s="51"/>
      <c r="H27" s="51"/>
      <c r="I27" s="51"/>
    </row>
    <row r="28" spans="2:9">
      <c r="B28" s="51">
        <v>25</v>
      </c>
      <c r="C28" s="56" t="s">
        <v>171</v>
      </c>
      <c r="D28" s="51"/>
      <c r="E28" s="51"/>
      <c r="F28" s="51">
        <f>'Книга учета хоз. операций'!G50</f>
        <v>84156.25</v>
      </c>
      <c r="G28" s="51"/>
      <c r="H28" s="51"/>
      <c r="I28" s="51"/>
    </row>
    <row r="29" spans="2:9">
      <c r="B29" s="51">
        <v>26</v>
      </c>
      <c r="C29" s="56" t="s">
        <v>172</v>
      </c>
      <c r="D29" s="51"/>
      <c r="E29" s="51"/>
      <c r="F29" s="51"/>
      <c r="G29" s="51">
        <f>'Книга учета хоз. операций'!G76</f>
        <v>506868.2</v>
      </c>
      <c r="H29" s="51"/>
      <c r="I29" s="51"/>
    </row>
    <row r="30" spans="2:9">
      <c r="B30" s="51">
        <v>27</v>
      </c>
      <c r="C30" s="52" t="s">
        <v>173</v>
      </c>
      <c r="D30" s="53"/>
      <c r="E30" s="53"/>
      <c r="F30" s="55">
        <f>SUM(F25:F28)</f>
        <v>633585.25</v>
      </c>
      <c r="G30" s="55">
        <f>SUM(G29)</f>
        <v>506868.2</v>
      </c>
      <c r="H30" s="53">
        <f>F30-G30</f>
        <v>126717.05</v>
      </c>
      <c r="I30" s="53"/>
    </row>
    <row r="31" spans="2:9">
      <c r="B31" s="51">
        <v>28</v>
      </c>
      <c r="C31" s="56" t="s">
        <v>174</v>
      </c>
      <c r="D31" s="51"/>
      <c r="E31" s="51"/>
      <c r="F31" s="51">
        <f>'Книга учета хоз. операций'!G43</f>
        <v>40725</v>
      </c>
      <c r="G31" s="51"/>
      <c r="H31" s="51"/>
      <c r="I31" s="51"/>
    </row>
    <row r="32" spans="2:9">
      <c r="B32" s="51">
        <v>29</v>
      </c>
      <c r="C32" s="56" t="s">
        <v>175</v>
      </c>
      <c r="D32" s="51"/>
      <c r="E32" s="51"/>
      <c r="F32" s="51">
        <f>'Книга учета хоз. операций'!G65</f>
        <v>269820</v>
      </c>
      <c r="G32" s="51"/>
      <c r="H32" s="51"/>
      <c r="I32" s="51"/>
    </row>
    <row r="33" spans="2:9">
      <c r="B33" s="51">
        <v>30</v>
      </c>
      <c r="C33" s="56" t="s">
        <v>176</v>
      </c>
      <c r="D33" s="51"/>
      <c r="E33" s="51"/>
      <c r="F33" s="51">
        <f>'Книга учета хоз. операций'!G67</f>
        <v>81485.64</v>
      </c>
      <c r="G33" s="51"/>
      <c r="H33" s="51"/>
      <c r="I33" s="51"/>
    </row>
    <row r="34" spans="2:9">
      <c r="B34" s="51">
        <v>31</v>
      </c>
      <c r="C34" s="56" t="s">
        <v>177</v>
      </c>
      <c r="D34" s="51"/>
      <c r="E34" s="51"/>
      <c r="F34" s="51">
        <f>'Книга учета хоз. операций'!G51</f>
        <v>13799.58375</v>
      </c>
      <c r="G34" s="51"/>
      <c r="H34" s="51"/>
      <c r="I34" s="51"/>
    </row>
    <row r="35" spans="2:9">
      <c r="B35" s="51">
        <v>32</v>
      </c>
      <c r="C35" s="56" t="s">
        <v>178</v>
      </c>
      <c r="D35" s="51"/>
      <c r="E35" s="51"/>
      <c r="F35" s="51"/>
      <c r="G35" s="51">
        <f>'Книга учета хоз. операций'!G82</f>
        <v>405830.22375</v>
      </c>
      <c r="H35" s="51"/>
      <c r="I35" s="51"/>
    </row>
    <row r="36" spans="2:9">
      <c r="B36" s="51">
        <v>33</v>
      </c>
      <c r="C36" s="52" t="s">
        <v>179</v>
      </c>
      <c r="D36" s="53"/>
      <c r="E36" s="53"/>
      <c r="F36" s="55">
        <f>SUM(F31:F34)</f>
        <v>405830.22375</v>
      </c>
      <c r="G36" s="55">
        <f>SUM(G35)</f>
        <v>405830.22375</v>
      </c>
      <c r="H36" s="53">
        <f>F36-G36</f>
        <v>0</v>
      </c>
      <c r="I36" s="53"/>
    </row>
    <row r="37" spans="2:9">
      <c r="B37" s="51">
        <v>34</v>
      </c>
      <c r="C37" s="56" t="s">
        <v>180</v>
      </c>
      <c r="D37" s="51"/>
      <c r="E37" s="51"/>
      <c r="F37" s="51">
        <f>'Книга учета хоз. операций'!G76</f>
        <v>506868.2</v>
      </c>
      <c r="G37" s="51"/>
      <c r="H37" s="51"/>
      <c r="I37" s="51"/>
    </row>
    <row r="38" spans="2:9">
      <c r="B38" s="51">
        <v>35</v>
      </c>
      <c r="C38" s="52" t="s">
        <v>181</v>
      </c>
      <c r="D38" s="58"/>
      <c r="E38" s="58"/>
      <c r="F38" s="59">
        <f>SUM(F37)</f>
        <v>506868.2</v>
      </c>
      <c r="G38" s="58"/>
      <c r="H38" s="59">
        <f>SUM(F38)</f>
        <v>506868.2</v>
      </c>
      <c r="I38" s="58"/>
    </row>
    <row r="39" spans="2:9">
      <c r="B39" s="51">
        <v>36</v>
      </c>
      <c r="C39" s="56" t="s">
        <v>182</v>
      </c>
      <c r="D39" s="51"/>
      <c r="E39" s="51"/>
      <c r="F39" s="51">
        <f>'Книга учета хоз. операций'!G19</f>
        <v>37748</v>
      </c>
      <c r="G39" s="51"/>
      <c r="H39" s="51"/>
      <c r="I39" s="51"/>
    </row>
    <row r="40" spans="2:9">
      <c r="B40" s="51">
        <v>37</v>
      </c>
      <c r="C40" s="56" t="s">
        <v>183</v>
      </c>
      <c r="D40" s="51"/>
      <c r="E40" s="51"/>
      <c r="F40" s="51">
        <f>'Книга учета хоз. операций'!G56</f>
        <v>43333.3333333333</v>
      </c>
      <c r="G40" s="51"/>
      <c r="H40" s="51"/>
      <c r="I40" s="51"/>
    </row>
    <row r="41" spans="2:9">
      <c r="B41" s="51">
        <v>38</v>
      </c>
      <c r="C41" s="56" t="s">
        <v>184</v>
      </c>
      <c r="D41" s="51"/>
      <c r="E41" s="51"/>
      <c r="G41" s="51">
        <f>'Книга учета хоз. операций'!G81</f>
        <v>81081.3333333333</v>
      </c>
      <c r="I41" s="51"/>
    </row>
    <row r="42" spans="2:9">
      <c r="B42" s="51">
        <v>39</v>
      </c>
      <c r="C42" s="52" t="s">
        <v>185</v>
      </c>
      <c r="D42" s="53"/>
      <c r="E42" s="53"/>
      <c r="F42" s="55">
        <f>SUM(F39:F40)</f>
        <v>81081.3333333333</v>
      </c>
      <c r="G42" s="55">
        <f>SUM(G41)</f>
        <v>81081.3333333333</v>
      </c>
      <c r="H42" s="53">
        <f>F42-G41</f>
        <v>0</v>
      </c>
      <c r="I42" s="53"/>
    </row>
    <row r="43" spans="2:9">
      <c r="B43" s="51">
        <v>40</v>
      </c>
      <c r="C43" s="56" t="s">
        <v>186</v>
      </c>
      <c r="D43" s="51"/>
      <c r="E43" s="51"/>
      <c r="F43" s="51">
        <f>'Книга учета хоз. операций'!G37</f>
        <v>45000</v>
      </c>
      <c r="G43" s="51"/>
      <c r="H43" s="51"/>
      <c r="I43" s="51"/>
    </row>
    <row r="44" spans="2:9">
      <c r="B44" s="51">
        <v>41</v>
      </c>
      <c r="C44" s="56" t="s">
        <v>187</v>
      </c>
      <c r="D44" s="51"/>
      <c r="E44" s="51"/>
      <c r="F44" s="51"/>
      <c r="G44" s="51">
        <f>'Книга учета хоз. операций'!G38</f>
        <v>45000</v>
      </c>
      <c r="H44" s="51"/>
      <c r="I44" s="51"/>
    </row>
    <row r="45" spans="2:9">
      <c r="B45" s="51">
        <v>42</v>
      </c>
      <c r="C45" s="56" t="s">
        <v>187</v>
      </c>
      <c r="D45" s="51"/>
      <c r="E45" s="51"/>
      <c r="F45" s="51"/>
      <c r="G45" s="51">
        <f>'Книга учета хоз. операций'!G18</f>
        <v>33700</v>
      </c>
      <c r="H45" s="51"/>
      <c r="I45" s="51"/>
    </row>
    <row r="46" spans="2:9">
      <c r="B46" s="51">
        <v>43</v>
      </c>
      <c r="C46" s="56" t="s">
        <v>187</v>
      </c>
      <c r="D46" s="51"/>
      <c r="E46" s="51"/>
      <c r="F46" s="51"/>
      <c r="G46" s="51">
        <f>'Книга учета хоз. операций'!G22</f>
        <v>4550</v>
      </c>
      <c r="H46" s="51"/>
      <c r="I46" s="51"/>
    </row>
    <row r="47" spans="2:9">
      <c r="B47" s="51">
        <v>44</v>
      </c>
      <c r="C47" s="56" t="s">
        <v>188</v>
      </c>
      <c r="D47" s="51"/>
      <c r="E47" s="51"/>
      <c r="F47" s="51">
        <f>'Книга учета хоз. операций'!G17</f>
        <v>38250</v>
      </c>
      <c r="G47" s="51"/>
      <c r="I47" s="51"/>
    </row>
    <row r="48" spans="2:9">
      <c r="B48" s="51">
        <v>45</v>
      </c>
      <c r="C48" s="52" t="s">
        <v>189</v>
      </c>
      <c r="D48" s="53">
        <f>'Остатки счетам баланса за 3 кв'!D5</f>
        <v>11899.59</v>
      </c>
      <c r="E48" s="53"/>
      <c r="F48" s="55">
        <f>SUM(F43:F47)</f>
        <v>83250</v>
      </c>
      <c r="G48" s="55">
        <f>SUM(G44:G46)</f>
        <v>83250</v>
      </c>
      <c r="H48" s="53">
        <f>D48+F48-G48</f>
        <v>11899.59</v>
      </c>
      <c r="I48" s="53"/>
    </row>
    <row r="49" spans="2:9">
      <c r="B49" s="51">
        <v>46</v>
      </c>
      <c r="C49" s="56" t="s">
        <v>190</v>
      </c>
      <c r="D49" s="51"/>
      <c r="E49" s="51"/>
      <c r="F49" s="51">
        <f>'Книга учета хоз. операций'!G7</f>
        <v>1024000</v>
      </c>
      <c r="G49" s="51"/>
      <c r="H49" s="51"/>
      <c r="I49" s="51"/>
    </row>
    <row r="50" spans="2:9">
      <c r="B50" s="51">
        <v>47</v>
      </c>
      <c r="C50" s="56" t="s">
        <v>191</v>
      </c>
      <c r="D50" s="51"/>
      <c r="E50" s="51"/>
      <c r="F50" s="51"/>
      <c r="G50" s="51">
        <f>'Книга учета хоз. операций'!G12</f>
        <v>20820.82035</v>
      </c>
      <c r="H50" s="51"/>
      <c r="I50" s="51"/>
    </row>
    <row r="51" spans="2:9">
      <c r="B51" s="51">
        <v>48</v>
      </c>
      <c r="C51" s="56" t="s">
        <v>192</v>
      </c>
      <c r="D51" s="51"/>
      <c r="E51" s="51"/>
      <c r="F51" s="51"/>
      <c r="G51" s="51">
        <f>'Книга учета хоз. операций'!G9</f>
        <v>19748.16</v>
      </c>
      <c r="H51" s="51"/>
      <c r="I51" s="51"/>
    </row>
    <row r="52" spans="2:9">
      <c r="B52" s="51">
        <v>49</v>
      </c>
      <c r="C52" s="56" t="s">
        <v>193</v>
      </c>
      <c r="D52" s="51"/>
      <c r="E52" s="51"/>
      <c r="F52" s="51"/>
      <c r="G52" s="51">
        <f>'Книга учета хоз. операций'!G10</f>
        <v>1922</v>
      </c>
      <c r="H52" s="51"/>
      <c r="I52" s="51"/>
    </row>
    <row r="53" spans="2:9">
      <c r="B53" s="51">
        <v>50</v>
      </c>
      <c r="C53" s="56" t="s">
        <v>194</v>
      </c>
      <c r="D53" s="51"/>
      <c r="E53" s="51"/>
      <c r="F53" s="51"/>
      <c r="G53" s="51">
        <f>'Книга учета хоз. операций'!G37</f>
        <v>45000</v>
      </c>
      <c r="H53" s="51"/>
      <c r="I53" s="51"/>
    </row>
    <row r="54" spans="2:9">
      <c r="B54" s="51">
        <v>51</v>
      </c>
      <c r="C54" s="56" t="s">
        <v>195</v>
      </c>
      <c r="D54" s="51"/>
      <c r="E54" s="51"/>
      <c r="F54" s="51"/>
      <c r="G54" s="51">
        <f>'Книга учета хоз. операций'!G44</f>
        <v>205800</v>
      </c>
      <c r="H54" s="51"/>
      <c r="I54" s="51"/>
    </row>
    <row r="55" spans="2:9">
      <c r="B55" s="51">
        <v>52</v>
      </c>
      <c r="C55" s="56" t="s">
        <v>196</v>
      </c>
      <c r="D55" s="51"/>
      <c r="E55" s="51"/>
      <c r="F55" s="51"/>
      <c r="G55" s="51">
        <f>'Книга учета хоз. операций'!G29</f>
        <v>226788</v>
      </c>
      <c r="H55" s="51"/>
      <c r="I55" s="51"/>
    </row>
    <row r="56" spans="2:9">
      <c r="B56" s="51">
        <v>53</v>
      </c>
      <c r="C56" s="56" t="s">
        <v>196</v>
      </c>
      <c r="D56" s="51"/>
      <c r="E56" s="51"/>
      <c r="F56" s="51"/>
      <c r="G56" s="51">
        <f>'Книга учета хоз. операций'!G31</f>
        <v>28000</v>
      </c>
      <c r="H56" s="51"/>
      <c r="I56" s="51"/>
    </row>
    <row r="57" spans="2:9">
      <c r="B57" s="51">
        <v>54</v>
      </c>
      <c r="C57" s="56" t="s">
        <v>196</v>
      </c>
      <c r="D57" s="51"/>
      <c r="E57" s="51"/>
      <c r="F57" s="51"/>
      <c r="G57" s="51">
        <f>'Книга учета хоз. операций'!G58</f>
        <v>52000</v>
      </c>
      <c r="H57" s="51"/>
      <c r="I57" s="51"/>
    </row>
    <row r="58" spans="2:9">
      <c r="B58" s="51">
        <v>55</v>
      </c>
      <c r="C58" s="56" t="s">
        <v>197</v>
      </c>
      <c r="D58" s="51"/>
      <c r="E58" s="51"/>
      <c r="F58" s="51"/>
      <c r="G58" s="51">
        <f>'Книга учета хоз. операций'!G69</f>
        <v>491891.4</v>
      </c>
      <c r="H58" s="51"/>
      <c r="I58" s="51"/>
    </row>
    <row r="59" spans="2:9">
      <c r="B59" s="51">
        <v>56</v>
      </c>
      <c r="C59" s="56" t="s">
        <v>198</v>
      </c>
      <c r="D59" s="51"/>
      <c r="E59" s="51"/>
      <c r="F59" s="51"/>
      <c r="G59" s="51">
        <f>'Книга учета хоз. операций'!G70</f>
        <v>169367.64</v>
      </c>
      <c r="H59" s="51"/>
      <c r="I59" s="51"/>
    </row>
    <row r="60" spans="2:9">
      <c r="B60" s="51">
        <v>57</v>
      </c>
      <c r="C60" s="56" t="s">
        <v>199</v>
      </c>
      <c r="D60" s="51"/>
      <c r="E60" s="51"/>
      <c r="F60" s="51"/>
      <c r="G60" s="51">
        <f>'Книга учета хоз. операций'!G71</f>
        <v>68928.6</v>
      </c>
      <c r="H60" s="51"/>
      <c r="I60" s="51"/>
    </row>
    <row r="61" spans="2:9">
      <c r="B61" s="51">
        <v>58</v>
      </c>
      <c r="C61" s="56" t="s">
        <v>194</v>
      </c>
      <c r="D61" s="51"/>
      <c r="E61" s="51"/>
      <c r="F61" s="51"/>
      <c r="G61" s="51">
        <f>'Книга учета хоз. операций'!G17</f>
        <v>38250</v>
      </c>
      <c r="H61" s="51"/>
      <c r="I61" s="51"/>
    </row>
    <row r="62" spans="2:9">
      <c r="B62" s="51">
        <v>59</v>
      </c>
      <c r="C62" s="52" t="s">
        <v>200</v>
      </c>
      <c r="D62" s="53">
        <f>'Остатки счетам баланса за 3 кв'!D6</f>
        <v>151321.74</v>
      </c>
      <c r="E62" s="53"/>
      <c r="F62" s="55">
        <f>SUM(F49)</f>
        <v>1024000</v>
      </c>
      <c r="G62" s="55">
        <f>SUM(G50:G61)</f>
        <v>1368516.62035</v>
      </c>
      <c r="H62" s="53"/>
      <c r="I62" s="53">
        <f>G62-F62-D62</f>
        <v>193194.88035</v>
      </c>
    </row>
    <row r="63" spans="2:9">
      <c r="B63" s="51">
        <v>60</v>
      </c>
      <c r="C63" s="56" t="s">
        <v>201</v>
      </c>
      <c r="D63" s="51"/>
      <c r="E63" s="51"/>
      <c r="F63" s="51">
        <f>'Книга учета хоз. операций'!G44</f>
        <v>205800</v>
      </c>
      <c r="G63" s="51"/>
      <c r="H63" s="51"/>
      <c r="I63" s="51"/>
    </row>
    <row r="64" spans="2:9">
      <c r="B64" s="51">
        <v>61</v>
      </c>
      <c r="C64" s="56" t="s">
        <v>202</v>
      </c>
      <c r="D64" s="51"/>
      <c r="E64" s="51"/>
      <c r="F64" s="51"/>
      <c r="G64" s="51">
        <f>'Книга учета хоз. операций'!G45</f>
        <v>205800</v>
      </c>
      <c r="H64" s="51"/>
      <c r="I64" s="51"/>
    </row>
    <row r="65" spans="2:9">
      <c r="B65" s="51">
        <v>62</v>
      </c>
      <c r="C65" s="52" t="s">
        <v>203</v>
      </c>
      <c r="D65" s="53">
        <f>'Остатки счетам баланса за 3 кв'!D7</f>
        <v>27500</v>
      </c>
      <c r="E65" s="53"/>
      <c r="F65" s="55">
        <f>SUM(F63)</f>
        <v>205800</v>
      </c>
      <c r="G65" s="55">
        <f>SUM(G64)</f>
        <v>205800</v>
      </c>
      <c r="H65" s="53">
        <f>D65+F65-G65</f>
        <v>27500</v>
      </c>
      <c r="I65" s="53"/>
    </row>
    <row r="66" spans="2:9">
      <c r="B66" s="51">
        <v>63</v>
      </c>
      <c r="C66" s="56" t="s">
        <v>204</v>
      </c>
      <c r="D66" s="51"/>
      <c r="E66" s="51"/>
      <c r="F66" s="51">
        <f>'Книга учета хоз. операций'!G45</f>
        <v>205800</v>
      </c>
      <c r="G66" s="51"/>
      <c r="H66" s="51"/>
      <c r="I66" s="51"/>
    </row>
    <row r="67" spans="2:9">
      <c r="B67" s="51">
        <v>64</v>
      </c>
      <c r="C67" s="56" t="s">
        <v>205</v>
      </c>
      <c r="D67" s="51"/>
      <c r="E67" s="51"/>
      <c r="F67" s="51">
        <f>'Книга учета хоз. операций'!G29</f>
        <v>226788</v>
      </c>
      <c r="G67" s="51"/>
      <c r="H67" s="51"/>
      <c r="I67" s="51"/>
    </row>
    <row r="68" spans="2:9">
      <c r="B68" s="51">
        <v>65</v>
      </c>
      <c r="C68" s="56" t="s">
        <v>205</v>
      </c>
      <c r="D68" s="51"/>
      <c r="E68" s="51"/>
      <c r="F68" s="51">
        <f>'Книга учета хоз. операций'!G31</f>
        <v>28000</v>
      </c>
      <c r="G68" s="51"/>
      <c r="H68" s="51"/>
      <c r="I68" s="51"/>
    </row>
    <row r="69" spans="2:9">
      <c r="B69" s="51">
        <v>66</v>
      </c>
      <c r="C69" s="56" t="s">
        <v>205</v>
      </c>
      <c r="D69" s="51"/>
      <c r="E69" s="51"/>
      <c r="F69" s="51">
        <f>'Книга учета хоз. операций'!G58</f>
        <v>52000</v>
      </c>
      <c r="G69" s="51"/>
      <c r="H69" s="51"/>
      <c r="I69" s="51"/>
    </row>
    <row r="70" spans="2:9">
      <c r="B70" s="51">
        <v>67</v>
      </c>
      <c r="C70" s="56" t="s">
        <v>206</v>
      </c>
      <c r="D70" s="51"/>
      <c r="E70" s="51"/>
      <c r="F70" s="51"/>
      <c r="G70" s="51">
        <f>'Книга учета хоз. операций'!G46</f>
        <v>171500</v>
      </c>
      <c r="H70" s="51"/>
      <c r="I70" s="51"/>
    </row>
    <row r="71" spans="2:9">
      <c r="B71" s="51">
        <v>68</v>
      </c>
      <c r="C71" s="56" t="s">
        <v>207</v>
      </c>
      <c r="D71" s="51"/>
      <c r="E71" s="51"/>
      <c r="F71" s="51"/>
      <c r="G71" s="51">
        <f>'Книга учета хоз. операций'!G47</f>
        <v>34300</v>
      </c>
      <c r="H71" s="51"/>
      <c r="I71" s="51"/>
    </row>
    <row r="72" spans="2:9">
      <c r="B72" s="51">
        <v>69</v>
      </c>
      <c r="C72" s="56" t="s">
        <v>208</v>
      </c>
      <c r="D72" s="51"/>
      <c r="E72" s="51"/>
      <c r="F72" s="51"/>
      <c r="G72" s="51">
        <f>'Книга учета хоз. операций'!G27</f>
        <v>188990</v>
      </c>
      <c r="H72" s="51"/>
      <c r="I72" s="51"/>
    </row>
    <row r="73" spans="2:9">
      <c r="B73" s="51">
        <v>70</v>
      </c>
      <c r="C73" s="56" t="s">
        <v>209</v>
      </c>
      <c r="D73" s="51"/>
      <c r="E73" s="51"/>
      <c r="F73" s="51"/>
      <c r="G73" s="51">
        <f>'Книга учета хоз. операций'!G28</f>
        <v>37798</v>
      </c>
      <c r="H73" s="51"/>
      <c r="I73" s="51"/>
    </row>
    <row r="74" spans="2:9">
      <c r="B74" s="51">
        <v>71</v>
      </c>
      <c r="C74" s="56" t="s">
        <v>208</v>
      </c>
      <c r="D74" s="51"/>
      <c r="E74" s="51"/>
      <c r="F74" s="51"/>
      <c r="G74" s="51">
        <f>'Книга учета хоз. операций'!G30</f>
        <v>28000</v>
      </c>
      <c r="H74" s="51"/>
      <c r="I74" s="51"/>
    </row>
    <row r="75" spans="2:9">
      <c r="B75" s="51">
        <v>72</v>
      </c>
      <c r="C75" s="56" t="s">
        <v>210</v>
      </c>
      <c r="D75" s="51"/>
      <c r="E75" s="51"/>
      <c r="F75" s="51"/>
      <c r="G75" s="51">
        <f>'Книга учета хоз. операций'!G56</f>
        <v>43333.3333333333</v>
      </c>
      <c r="H75" s="51"/>
      <c r="I75" s="51"/>
    </row>
    <row r="76" spans="2:9">
      <c r="B76" s="51">
        <v>73</v>
      </c>
      <c r="C76" s="56" t="s">
        <v>207</v>
      </c>
      <c r="D76" s="51"/>
      <c r="E76" s="51"/>
      <c r="F76" s="51"/>
      <c r="G76" s="51">
        <f>'Книга учета хоз. операций'!G57</f>
        <v>8666.66666666666</v>
      </c>
      <c r="H76" s="51"/>
      <c r="I76" s="51"/>
    </row>
    <row r="77" spans="2:9">
      <c r="B77" s="51">
        <v>74</v>
      </c>
      <c r="C77" s="52" t="s">
        <v>211</v>
      </c>
      <c r="D77" s="53"/>
      <c r="E77" s="53"/>
      <c r="F77" s="55">
        <f>SUM(F66:F69)</f>
        <v>512588</v>
      </c>
      <c r="G77" s="55">
        <f>SUM(G70:G76)</f>
        <v>512588</v>
      </c>
      <c r="H77" s="53">
        <f>F77-G77</f>
        <v>0</v>
      </c>
      <c r="I77" s="53"/>
    </row>
    <row r="78" spans="2:9">
      <c r="B78" s="51">
        <v>75</v>
      </c>
      <c r="C78" s="56" t="s">
        <v>212</v>
      </c>
      <c r="D78" s="51"/>
      <c r="E78" s="51"/>
      <c r="F78" s="51"/>
      <c r="G78" s="51">
        <f>'Книга учета хоз. операций'!G7</f>
        <v>1024000</v>
      </c>
      <c r="H78" s="51"/>
      <c r="I78" s="51"/>
    </row>
    <row r="79" spans="2:9">
      <c r="B79" s="51">
        <v>76</v>
      </c>
      <c r="C79" s="52" t="s">
        <v>213</v>
      </c>
      <c r="D79" s="53">
        <f>'Остатки счетам баланса за 3 кв'!D8</f>
        <v>1024000</v>
      </c>
      <c r="E79" s="53"/>
      <c r="F79" s="55"/>
      <c r="G79" s="55">
        <f>SUM(G78)</f>
        <v>1024000</v>
      </c>
      <c r="H79" s="53">
        <f>D79-G79</f>
        <v>0</v>
      </c>
      <c r="I79" s="53"/>
    </row>
    <row r="80" spans="2:9">
      <c r="B80" s="51">
        <v>77</v>
      </c>
      <c r="C80" s="56" t="s">
        <v>214</v>
      </c>
      <c r="D80" s="51"/>
      <c r="E80" s="51"/>
      <c r="F80" s="51">
        <f>'Книга учета хоз. операций'!G9</f>
        <v>19748.16</v>
      </c>
      <c r="G80" s="51"/>
      <c r="H80" s="51"/>
      <c r="I80" s="51"/>
    </row>
    <row r="81" spans="2:9">
      <c r="B81" s="51">
        <v>78</v>
      </c>
      <c r="C81" s="56" t="s">
        <v>215</v>
      </c>
      <c r="D81" s="51"/>
      <c r="E81" s="51"/>
      <c r="F81" s="51">
        <f>'Книга учета хоз. операций'!G10</f>
        <v>1922</v>
      </c>
      <c r="G81" s="51"/>
      <c r="H81" s="51"/>
      <c r="I81" s="51"/>
    </row>
    <row r="82" spans="2:9">
      <c r="B82" s="51">
        <v>79</v>
      </c>
      <c r="C82" s="56" t="s">
        <v>216</v>
      </c>
      <c r="D82" s="51"/>
      <c r="E82" s="51"/>
      <c r="F82" s="51"/>
      <c r="G82" s="51">
        <f>'Книга учета хоз. операций'!G8</f>
        <v>1922</v>
      </c>
      <c r="H82" s="51"/>
      <c r="I82" s="51"/>
    </row>
    <row r="83" spans="2:9">
      <c r="B83" s="51">
        <v>80</v>
      </c>
      <c r="C83" s="52" t="s">
        <v>217</v>
      </c>
      <c r="D83" s="53"/>
      <c r="E83" s="53">
        <f>'Остатки счетам баланса за 3 кв'!E10</f>
        <v>19748.16</v>
      </c>
      <c r="F83" s="55">
        <f>SUM(F80:F81)</f>
        <v>21670.16</v>
      </c>
      <c r="G83" s="55">
        <f>SUM(G82)</f>
        <v>1922</v>
      </c>
      <c r="H83" s="53">
        <f>F83-G83-E83</f>
        <v>0</v>
      </c>
      <c r="I83" s="53"/>
    </row>
    <row r="84" spans="2:9">
      <c r="B84" s="51">
        <v>81</v>
      </c>
      <c r="C84" s="56" t="s">
        <v>218</v>
      </c>
      <c r="D84" s="51"/>
      <c r="E84" s="51"/>
      <c r="F84" s="51">
        <f>'Книга учета хоз. операций'!G21</f>
        <v>502</v>
      </c>
      <c r="G84" s="51"/>
      <c r="H84" s="51"/>
      <c r="I84" s="51"/>
    </row>
    <row r="85" spans="2:9">
      <c r="B85" s="51">
        <v>82</v>
      </c>
      <c r="C85" s="56" t="s">
        <v>219</v>
      </c>
      <c r="D85" s="51"/>
      <c r="E85" s="51"/>
      <c r="F85" s="51">
        <f>'Книга учета хоз. операций'!G49</f>
        <v>34109.4</v>
      </c>
      <c r="G85" s="51"/>
      <c r="H85" s="51"/>
      <c r="I85" s="51"/>
    </row>
    <row r="86" spans="2:9">
      <c r="B86" s="51">
        <v>83</v>
      </c>
      <c r="C86" s="56" t="s">
        <v>219</v>
      </c>
      <c r="D86" s="51"/>
      <c r="E86" s="51"/>
      <c r="F86" s="51">
        <f>'Книга учета хоз. операций'!G59</f>
        <v>8666.66666666666</v>
      </c>
      <c r="G86" s="51"/>
      <c r="H86" s="51"/>
      <c r="I86" s="51"/>
    </row>
    <row r="87" spans="2:9">
      <c r="B87" s="51">
        <v>84</v>
      </c>
      <c r="C87" s="56" t="s">
        <v>220</v>
      </c>
      <c r="D87" s="51"/>
      <c r="E87" s="51"/>
      <c r="F87" s="51">
        <f>'Книга учета хоз. операций'!G12</f>
        <v>20820.82035</v>
      </c>
      <c r="G87" s="51"/>
      <c r="H87" s="51"/>
      <c r="I87" s="51"/>
    </row>
    <row r="88" spans="2:9">
      <c r="B88" s="51">
        <v>85</v>
      </c>
      <c r="C88" s="56" t="s">
        <v>221</v>
      </c>
      <c r="D88" s="51"/>
      <c r="E88" s="51"/>
      <c r="F88" s="51">
        <f>'Книга учета хоз. операций'!G71</f>
        <v>68928.6</v>
      </c>
      <c r="G88" s="51"/>
      <c r="H88" s="51"/>
      <c r="I88" s="51"/>
    </row>
    <row r="89" spans="2:9">
      <c r="B89" s="51">
        <v>86</v>
      </c>
      <c r="C89" s="56" t="s">
        <v>222</v>
      </c>
      <c r="D89" s="51"/>
      <c r="E89" s="51"/>
      <c r="F89" s="51"/>
      <c r="G89" s="51">
        <f>'Книга учета хоз. операций'!G68</f>
        <v>68928.6</v>
      </c>
      <c r="H89" s="51"/>
      <c r="I89" s="51"/>
    </row>
    <row r="90" spans="2:9">
      <c r="B90" s="51">
        <v>87</v>
      </c>
      <c r="C90" s="56" t="s">
        <v>223</v>
      </c>
      <c r="D90" s="51"/>
      <c r="E90" s="51"/>
      <c r="F90" s="51"/>
      <c r="G90" s="51">
        <f>'Книга учета хоз. операций'!G11</f>
        <v>20820.82035</v>
      </c>
      <c r="H90" s="51"/>
      <c r="I90" s="51"/>
    </row>
    <row r="91" spans="2:9">
      <c r="B91" s="51">
        <v>88</v>
      </c>
      <c r="C91" s="52" t="s">
        <v>224</v>
      </c>
      <c r="D91" s="53"/>
      <c r="E91" s="53">
        <f>'Остатки счетам баланса за 3 кв'!E11</f>
        <v>114466.7</v>
      </c>
      <c r="F91" s="55">
        <f>SUM(F84:F88)</f>
        <v>133027.487016667</v>
      </c>
      <c r="G91" s="55">
        <f>SUM(G89:G90)</f>
        <v>89749.42035</v>
      </c>
      <c r="H91" s="53"/>
      <c r="I91" s="53">
        <f>G91+E91-F91</f>
        <v>71188.6333333333</v>
      </c>
    </row>
    <row r="92" spans="2:9">
      <c r="B92" s="51">
        <v>89</v>
      </c>
      <c r="C92" s="56" t="s">
        <v>225</v>
      </c>
      <c r="D92" s="51"/>
      <c r="E92" s="51"/>
      <c r="F92" s="51"/>
      <c r="G92" s="51">
        <f>'Книга учета хоз. операций'!G66</f>
        <v>87882</v>
      </c>
      <c r="H92" s="51"/>
      <c r="I92" s="51"/>
    </row>
    <row r="93" spans="2:9">
      <c r="B93" s="51">
        <v>90</v>
      </c>
      <c r="C93" s="56" t="s">
        <v>226</v>
      </c>
      <c r="D93" s="51"/>
      <c r="E93" s="51"/>
      <c r="F93" s="51"/>
      <c r="G93" s="51">
        <f>'Книга учета хоз. операций'!G67</f>
        <v>81485.64</v>
      </c>
      <c r="H93" s="51"/>
      <c r="I93" s="51"/>
    </row>
    <row r="94" spans="2:9">
      <c r="B94" s="51">
        <v>91</v>
      </c>
      <c r="C94" s="56" t="s">
        <v>227</v>
      </c>
      <c r="D94" s="51"/>
      <c r="E94" s="51"/>
      <c r="F94" s="51">
        <f>'Книга учета хоз. операций'!G70</f>
        <v>169367.64</v>
      </c>
      <c r="G94" s="51"/>
      <c r="H94" s="51"/>
      <c r="I94" s="51"/>
    </row>
    <row r="95" spans="2:9">
      <c r="B95" s="51">
        <v>92</v>
      </c>
      <c r="C95" s="52" t="s">
        <v>228</v>
      </c>
      <c r="D95" s="53"/>
      <c r="E95" s="53">
        <f>'Остатки счетам баланса за 3 кв'!E12</f>
        <v>43480.97</v>
      </c>
      <c r="F95" s="55">
        <f>SUM(F94)</f>
        <v>169367.64</v>
      </c>
      <c r="G95" s="55">
        <f>SUM(G92:G93)</f>
        <v>169367.64</v>
      </c>
      <c r="H95" s="53"/>
      <c r="I95" s="53">
        <f>G95+E95-F95</f>
        <v>43480.97</v>
      </c>
    </row>
    <row r="96" spans="2:9">
      <c r="B96" s="51">
        <v>93</v>
      </c>
      <c r="C96" s="56" t="s">
        <v>229</v>
      </c>
      <c r="D96" s="51"/>
      <c r="E96" s="51"/>
      <c r="F96" s="51"/>
      <c r="G96" s="51">
        <f>'Книга учета хоз. операций'!G64</f>
        <v>291000</v>
      </c>
      <c r="H96" s="51"/>
      <c r="I96" s="51"/>
    </row>
    <row r="97" spans="2:9">
      <c r="B97" s="51">
        <v>94</v>
      </c>
      <c r="C97" s="56" t="s">
        <v>230</v>
      </c>
      <c r="D97" s="51"/>
      <c r="E97" s="51"/>
      <c r="F97" s="51"/>
      <c r="G97" s="51">
        <f>'Книга учета хоз. операций'!G65</f>
        <v>269820</v>
      </c>
      <c r="H97" s="51"/>
      <c r="I97" s="51"/>
    </row>
    <row r="98" spans="2:9">
      <c r="B98" s="51">
        <v>95</v>
      </c>
      <c r="C98" s="56" t="s">
        <v>231</v>
      </c>
      <c r="D98" s="51"/>
      <c r="E98" s="51"/>
      <c r="F98" s="51">
        <f>'Книга учета хоз. операций'!G68</f>
        <v>68928.6</v>
      </c>
      <c r="G98" s="51"/>
      <c r="H98" s="51"/>
      <c r="I98" s="51"/>
    </row>
    <row r="99" spans="2:9">
      <c r="B99" s="51">
        <v>96</v>
      </c>
      <c r="C99" s="56" t="s">
        <v>232</v>
      </c>
      <c r="D99" s="51"/>
      <c r="E99" s="51"/>
      <c r="F99" s="51">
        <f>'Книга учета хоз. операций'!G69</f>
        <v>491891.4</v>
      </c>
      <c r="G99" s="51"/>
      <c r="H99" s="51"/>
      <c r="I99" s="51"/>
    </row>
    <row r="100" spans="2:9">
      <c r="B100" s="51">
        <v>97</v>
      </c>
      <c r="C100" s="52" t="s">
        <v>233</v>
      </c>
      <c r="D100" s="53"/>
      <c r="E100" s="53"/>
      <c r="F100" s="55">
        <f>SUM(F98:F99)</f>
        <v>560820</v>
      </c>
      <c r="G100" s="55">
        <f>SUM(G96:G97)</f>
        <v>560820</v>
      </c>
      <c r="H100" s="53">
        <f>F100-G100</f>
        <v>0</v>
      </c>
      <c r="I100" s="53"/>
    </row>
    <row r="101" spans="2:9">
      <c r="B101" s="51">
        <v>98</v>
      </c>
      <c r="C101" s="56" t="s">
        <v>234</v>
      </c>
      <c r="D101" s="51"/>
      <c r="E101" s="51"/>
      <c r="F101" s="51">
        <f>'Книга учета хоз. операций'!G18</f>
        <v>33700</v>
      </c>
      <c r="G101" s="51"/>
      <c r="H101" s="51"/>
      <c r="I101" s="51"/>
    </row>
    <row r="102" spans="2:9">
      <c r="B102" s="51">
        <v>99</v>
      </c>
      <c r="C102" s="56" t="s">
        <v>234</v>
      </c>
      <c r="D102" s="51"/>
      <c r="E102" s="51"/>
      <c r="F102" s="51">
        <f>'Книга учета хоз. операций'!G22</f>
        <v>4550</v>
      </c>
      <c r="G102" s="51"/>
      <c r="H102" s="51"/>
      <c r="I102" s="51"/>
    </row>
    <row r="103" spans="2:9">
      <c r="B103" s="51">
        <v>100</v>
      </c>
      <c r="C103" s="56" t="s">
        <v>234</v>
      </c>
      <c r="D103" s="51"/>
      <c r="E103" s="51"/>
      <c r="F103" s="51">
        <f>'Книга учета хоз. операций'!G38</f>
        <v>45000</v>
      </c>
      <c r="G103" s="51"/>
      <c r="H103" s="51"/>
      <c r="I103" s="51"/>
    </row>
    <row r="104" spans="2:9">
      <c r="B104" s="51">
        <v>101</v>
      </c>
      <c r="C104" s="56" t="s">
        <v>235</v>
      </c>
      <c r="D104" s="51"/>
      <c r="E104" s="51"/>
      <c r="F104" s="51"/>
      <c r="G104" s="51">
        <f>'Книга учета хоз. операций'!G19</f>
        <v>37748</v>
      </c>
      <c r="H104" s="51"/>
      <c r="I104" s="51"/>
    </row>
    <row r="105" spans="2:9">
      <c r="B105" s="51">
        <v>102</v>
      </c>
      <c r="C105" s="56" t="s">
        <v>236</v>
      </c>
      <c r="D105" s="51"/>
      <c r="E105" s="51"/>
      <c r="F105" s="51"/>
      <c r="G105" s="51">
        <f>'Книга учета хоз. операций'!G20</f>
        <v>502</v>
      </c>
      <c r="H105" s="51"/>
      <c r="I105" s="51"/>
    </row>
    <row r="106" spans="2:9">
      <c r="B106" s="51">
        <v>103</v>
      </c>
      <c r="C106" s="56" t="s">
        <v>237</v>
      </c>
      <c r="D106" s="51"/>
      <c r="E106" s="51"/>
      <c r="F106" s="51"/>
      <c r="G106" s="51">
        <f>'Книга учета хоз. операций'!G43</f>
        <v>40725</v>
      </c>
      <c r="H106" s="51"/>
      <c r="I106" s="51"/>
    </row>
    <row r="107" spans="2:9">
      <c r="B107" s="51">
        <v>104</v>
      </c>
      <c r="C107" s="52" t="s">
        <v>238</v>
      </c>
      <c r="D107" s="53">
        <f>'Остатки счетам баланса за 3 кв'!D9</f>
        <v>305.97</v>
      </c>
      <c r="E107" s="53"/>
      <c r="F107" s="55">
        <f>SUM(F101:F103)</f>
        <v>83250</v>
      </c>
      <c r="G107" s="55">
        <f>SUM(G104:G106)</f>
        <v>78975</v>
      </c>
      <c r="H107" s="53">
        <f>F107+D107-G107</f>
        <v>4580.97</v>
      </c>
      <c r="I107" s="53"/>
    </row>
    <row r="108" spans="2:9">
      <c r="B108" s="51">
        <v>105</v>
      </c>
      <c r="C108" s="52" t="s">
        <v>239</v>
      </c>
      <c r="D108" s="53"/>
      <c r="E108" s="53">
        <f>'Остатки счетам баланса за 3 кв'!E13</f>
        <v>4569350.31</v>
      </c>
      <c r="F108" s="53"/>
      <c r="G108" s="53"/>
      <c r="H108" s="53"/>
      <c r="I108" s="53">
        <f>E108</f>
        <v>4569350.31</v>
      </c>
    </row>
    <row r="109" spans="2:9">
      <c r="B109" s="51">
        <v>106</v>
      </c>
      <c r="C109" s="52" t="s">
        <v>240</v>
      </c>
      <c r="D109" s="53"/>
      <c r="E109" s="53">
        <f>'Остатки счетам баланса за 3 кв'!E14</f>
        <v>132500</v>
      </c>
      <c r="F109" s="53"/>
      <c r="G109" s="53"/>
      <c r="H109" s="53"/>
      <c r="I109" s="53">
        <f>E109</f>
        <v>132500</v>
      </c>
    </row>
    <row r="110" spans="2:9">
      <c r="B110" s="51">
        <v>107</v>
      </c>
      <c r="C110" s="56" t="s">
        <v>241</v>
      </c>
      <c r="D110" s="51"/>
      <c r="F110" s="51">
        <f>'Книга учета хоз. операций'!G85</f>
        <v>509654.377433333</v>
      </c>
      <c r="G110" s="51"/>
      <c r="H110" s="51"/>
      <c r="I110" s="51"/>
    </row>
    <row r="111" spans="2:9">
      <c r="B111" s="51">
        <v>108</v>
      </c>
      <c r="C111" s="52" t="s">
        <v>242</v>
      </c>
      <c r="D111" s="53"/>
      <c r="E111" s="53">
        <f>'Остатки счетам баланса за 3 кв'!E15</f>
        <v>121084.86</v>
      </c>
      <c r="F111" s="55">
        <f>SUM(F110)</f>
        <v>509654.377433333</v>
      </c>
      <c r="G111" s="54"/>
      <c r="H111" s="53">
        <f>F111-E111</f>
        <v>388569.517433333</v>
      </c>
      <c r="I111" s="53"/>
    </row>
    <row r="112" spans="2:9">
      <c r="B112" s="51">
        <v>109</v>
      </c>
      <c r="C112" s="56" t="s">
        <v>243</v>
      </c>
      <c r="D112" s="51"/>
      <c r="E112" s="51"/>
      <c r="F112" s="51">
        <f>'Книга учета хоз. операций'!G81</f>
        <v>81081.3333333333</v>
      </c>
      <c r="G112" s="51"/>
      <c r="H112" s="51"/>
      <c r="I112" s="51"/>
    </row>
    <row r="113" spans="2:9">
      <c r="B113" s="51">
        <v>110</v>
      </c>
      <c r="C113" s="56" t="s">
        <v>244</v>
      </c>
      <c r="D113" s="51"/>
      <c r="E113" s="51"/>
      <c r="F113" s="51">
        <f>'Книга учета хоз. операций'!G82</f>
        <v>405830.22375</v>
      </c>
      <c r="G113" s="51"/>
      <c r="H113" s="51"/>
      <c r="I113" s="51"/>
    </row>
    <row r="114" spans="2:9">
      <c r="B114" s="51">
        <v>111</v>
      </c>
      <c r="C114" s="56" t="s">
        <v>245</v>
      </c>
      <c r="D114" s="51"/>
      <c r="E114" s="51"/>
      <c r="F114" s="51"/>
      <c r="G114" s="51">
        <f>'Книга учета хоз. операций'!G83</f>
        <v>486911.557083333</v>
      </c>
      <c r="H114" s="51"/>
      <c r="I114" s="51"/>
    </row>
    <row r="115" spans="2:9">
      <c r="B115" s="51">
        <v>112</v>
      </c>
      <c r="C115" s="60" t="s">
        <v>246</v>
      </c>
      <c r="D115" s="61"/>
      <c r="E115" s="61"/>
      <c r="F115" s="62">
        <f>SUM(F112:F113)</f>
        <v>486911.557083333</v>
      </c>
      <c r="G115" s="57">
        <f>SUM(G114)</f>
        <v>486911.557083333</v>
      </c>
      <c r="H115" s="61">
        <f>F115-G115</f>
        <v>0</v>
      </c>
      <c r="I115" s="61"/>
    </row>
    <row r="116" spans="2:9">
      <c r="B116" s="51">
        <v>113</v>
      </c>
      <c r="C116" s="56" t="s">
        <v>247</v>
      </c>
      <c r="D116" s="51"/>
      <c r="E116" s="51"/>
      <c r="F116" s="51">
        <f>'Книга учета хоз. операций'!G8</f>
        <v>1922</v>
      </c>
      <c r="G116" s="51"/>
      <c r="H116" s="51"/>
      <c r="I116" s="51"/>
    </row>
    <row r="117" spans="2:9">
      <c r="B117" s="51">
        <v>114</v>
      </c>
      <c r="C117" s="56" t="s">
        <v>248</v>
      </c>
      <c r="D117" s="51"/>
      <c r="E117" s="51"/>
      <c r="F117" s="51"/>
      <c r="G117" s="51">
        <f>'Книга учета хоз. операций'!G84</f>
        <v>1922</v>
      </c>
      <c r="H117" s="51"/>
      <c r="I117" s="51"/>
    </row>
    <row r="118" spans="2:9">
      <c r="B118" s="51">
        <v>115</v>
      </c>
      <c r="C118" s="52" t="s">
        <v>249</v>
      </c>
      <c r="D118" s="53"/>
      <c r="E118" s="53"/>
      <c r="F118" s="55">
        <f>SUM(F116)</f>
        <v>1922</v>
      </c>
      <c r="G118" s="55">
        <f>SUM(G117)</f>
        <v>1922</v>
      </c>
      <c r="H118" s="53">
        <f>F118-G118</f>
        <v>0</v>
      </c>
      <c r="I118" s="53"/>
    </row>
    <row r="119" spans="2:9">
      <c r="B119" s="51">
        <v>116</v>
      </c>
      <c r="C119" s="56" t="s">
        <v>250</v>
      </c>
      <c r="D119" s="51"/>
      <c r="E119" s="51"/>
      <c r="F119" s="51">
        <f>'Книга учета хоз. операций'!G83</f>
        <v>486911.557083333</v>
      </c>
      <c r="G119" s="51"/>
      <c r="H119" s="51"/>
      <c r="I119" s="51"/>
    </row>
    <row r="120" spans="2:9">
      <c r="B120" s="51">
        <v>117</v>
      </c>
      <c r="C120" s="56" t="s">
        <v>251</v>
      </c>
      <c r="D120" s="51"/>
      <c r="E120" s="51"/>
      <c r="F120" s="51">
        <f>'Книга учета хоз. операций'!G84</f>
        <v>1922</v>
      </c>
      <c r="G120" s="51"/>
      <c r="H120" s="51"/>
      <c r="I120" s="51"/>
    </row>
    <row r="121" spans="2:9">
      <c r="B121" s="51">
        <v>118</v>
      </c>
      <c r="C121" s="56" t="s">
        <v>252</v>
      </c>
      <c r="D121" s="51"/>
      <c r="E121" s="51"/>
      <c r="F121" s="51"/>
      <c r="G121" s="51">
        <f>'Книга учета хоз. операций'!G85</f>
        <v>509654.377433333</v>
      </c>
      <c r="H121" s="51"/>
      <c r="I121" s="51"/>
    </row>
    <row r="122" spans="2:9">
      <c r="B122" s="51">
        <v>119</v>
      </c>
      <c r="C122" s="63" t="s">
        <v>253</v>
      </c>
      <c r="D122" s="64"/>
      <c r="F122" s="64">
        <f>'Книга учета хоз. операций'!G11</f>
        <v>20820.82035</v>
      </c>
      <c r="G122" s="65"/>
      <c r="H122" s="64"/>
      <c r="I122" s="64"/>
    </row>
    <row r="123" spans="2:9">
      <c r="B123" s="51">
        <v>120</v>
      </c>
      <c r="C123" s="52" t="s">
        <v>254</v>
      </c>
      <c r="D123" s="53"/>
      <c r="E123" s="53"/>
      <c r="F123" s="55">
        <f>SUM(F119:F122)</f>
        <v>509654.377433333</v>
      </c>
      <c r="G123" s="55">
        <f>SUM(G121)</f>
        <v>509654.377433333</v>
      </c>
      <c r="H123" s="53">
        <f>F123-G123</f>
        <v>0</v>
      </c>
      <c r="I123" s="53"/>
    </row>
    <row r="124" spans="2:9">
      <c r="B124" s="51">
        <v>121</v>
      </c>
      <c r="C124" s="66" t="s">
        <v>255</v>
      </c>
      <c r="D124" s="55">
        <f>SUM(D4:D123)</f>
        <v>5011994</v>
      </c>
      <c r="E124" s="55">
        <f>SUM(E4:E123)</f>
        <v>5011994</v>
      </c>
      <c r="F124" s="55">
        <f>SUM(F5:F123)</f>
        <v>13232054.5454333</v>
      </c>
      <c r="G124" s="55">
        <f>SUM(G5:G123)</f>
        <v>13232054.5454333</v>
      </c>
      <c r="H124" s="55">
        <f>SUM(H4:H123)</f>
        <v>5119033.62743333</v>
      </c>
      <c r="I124" s="55">
        <f>SUM(I4:I123)</f>
        <v>5119033.62743333</v>
      </c>
    </row>
    <row r="125" spans="2:9">
      <c r="B125" s="51">
        <v>122</v>
      </c>
      <c r="C125" s="67"/>
      <c r="D125" s="68"/>
      <c r="E125" s="68">
        <f>D124-E124</f>
        <v>0</v>
      </c>
      <c r="F125" s="68"/>
      <c r="G125" s="68">
        <f>F124-G124</f>
        <v>0</v>
      </c>
      <c r="H125" s="68"/>
      <c r="I125" s="68">
        <f>H124-I124</f>
        <v>0</v>
      </c>
    </row>
  </sheetData>
  <mergeCells count="5">
    <mergeCell ref="D2:E2"/>
    <mergeCell ref="F2:G2"/>
    <mergeCell ref="H2:I2"/>
    <mergeCell ref="B2:B3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34"/>
  <sheetViews>
    <sheetView topLeftCell="A8" workbookViewId="0">
      <selection activeCell="E12" sqref="E12"/>
    </sheetView>
  </sheetViews>
  <sheetFormatPr defaultColWidth="9.14285714285714" defaultRowHeight="15" outlineLevelCol="6"/>
  <cols>
    <col min="1" max="2" width="9.14285714285714" style="32"/>
    <col min="3" max="3" width="48" style="32" customWidth="1"/>
    <col min="4" max="4" width="20.1428571428571" style="32" customWidth="1"/>
    <col min="5" max="5" width="23.8571428571429" style="32" customWidth="1"/>
    <col min="6" max="6" width="26.7142857142857" style="32" customWidth="1"/>
    <col min="7" max="16384" width="9.14285714285714" style="32"/>
  </cols>
  <sheetData>
    <row r="2" ht="30" spans="3:6">
      <c r="C2" s="33" t="s">
        <v>4</v>
      </c>
      <c r="D2" s="33" t="s">
        <v>256</v>
      </c>
      <c r="E2" s="33" t="s">
        <v>257</v>
      </c>
      <c r="F2" s="33" t="s">
        <v>258</v>
      </c>
    </row>
    <row r="3" spans="3:6">
      <c r="C3" s="33">
        <v>1</v>
      </c>
      <c r="D3" s="33">
        <v>2</v>
      </c>
      <c r="E3" s="33">
        <v>3</v>
      </c>
      <c r="F3" s="33">
        <v>4</v>
      </c>
    </row>
    <row r="4" ht="30" spans="3:6">
      <c r="C4" s="34" t="s">
        <v>259</v>
      </c>
      <c r="D4" s="33">
        <v>120</v>
      </c>
      <c r="E4" s="33">
        <f>ОСБ!D4-ОСБ!E7</f>
        <v>3785603.7</v>
      </c>
      <c r="F4" s="33">
        <f>ОСБ!H4-ОСБ!I7</f>
        <v>3687647.86625</v>
      </c>
    </row>
    <row r="5" spans="3:6">
      <c r="C5" s="33" t="s">
        <v>260</v>
      </c>
      <c r="D5" s="33">
        <v>130</v>
      </c>
      <c r="E5" s="33">
        <f>ОСБ!D11+ОСБ!D13</f>
        <v>0</v>
      </c>
      <c r="F5" s="33">
        <f>ОСБ!H11+ОСБ!H13</f>
        <v>216990</v>
      </c>
    </row>
    <row r="6" spans="3:6">
      <c r="C6" s="35" t="s">
        <v>261</v>
      </c>
      <c r="D6" s="36">
        <v>190</v>
      </c>
      <c r="E6" s="37">
        <f>SUM(E4:E5)</f>
        <v>3785603.7</v>
      </c>
      <c r="F6" s="37">
        <f>SUM(F4:F5)</f>
        <v>3904637.86625</v>
      </c>
    </row>
    <row r="7" ht="45" spans="3:6">
      <c r="C7" s="33" t="s">
        <v>262</v>
      </c>
      <c r="D7" s="33">
        <v>211</v>
      </c>
      <c r="E7" s="33">
        <f>ОСБ!D16</f>
        <v>0</v>
      </c>
      <c r="F7" s="33">
        <f>ОСБ!H16</f>
        <v>953</v>
      </c>
    </row>
    <row r="8" ht="30" spans="3:6">
      <c r="C8" s="33" t="s">
        <v>263</v>
      </c>
      <c r="D8" s="33">
        <v>213</v>
      </c>
      <c r="E8" s="33">
        <f>ОСБ!D30</f>
        <v>0</v>
      </c>
      <c r="F8" s="33">
        <f>ОСБ!H30</f>
        <v>126717.05</v>
      </c>
    </row>
    <row r="9" ht="30" spans="3:6">
      <c r="C9" s="33" t="s">
        <v>264</v>
      </c>
      <c r="D9" s="33">
        <v>214</v>
      </c>
      <c r="E9" s="33">
        <f>ОСБ!D38</f>
        <v>0</v>
      </c>
      <c r="F9" s="33">
        <f>ОСБ!H38</f>
        <v>506868.2</v>
      </c>
    </row>
    <row r="10" ht="30" spans="3:6">
      <c r="C10" s="33" t="s">
        <v>265</v>
      </c>
      <c r="D10" s="33">
        <v>220</v>
      </c>
      <c r="E10" s="33">
        <f>ОСБ!D24</f>
        <v>0</v>
      </c>
      <c r="F10" s="33">
        <f>ОСБ!H24</f>
        <v>37988.6</v>
      </c>
    </row>
    <row r="11" spans="3:6">
      <c r="C11" s="33" t="s">
        <v>266</v>
      </c>
      <c r="D11" s="33">
        <v>241</v>
      </c>
      <c r="E11" s="33">
        <f>ОСБ!D79</f>
        <v>1024000</v>
      </c>
      <c r="F11" s="33">
        <f>ОСБ!H79</f>
        <v>0</v>
      </c>
    </row>
    <row r="12" spans="3:6">
      <c r="C12" s="33" t="s">
        <v>267</v>
      </c>
      <c r="D12" s="33">
        <v>246</v>
      </c>
      <c r="E12" s="33">
        <f>ОСБ!D107</f>
        <v>305.97</v>
      </c>
      <c r="F12" s="33">
        <f>ОСБ!H107+ОСБ!H77</f>
        <v>4580.97</v>
      </c>
    </row>
    <row r="13" spans="3:6">
      <c r="C13" s="33" t="s">
        <v>268</v>
      </c>
      <c r="D13" s="33">
        <v>261</v>
      </c>
      <c r="E13" s="33">
        <f>ОСБ!D48</f>
        <v>11899.59</v>
      </c>
      <c r="F13" s="38">
        <f>ОСБ!H48</f>
        <v>11899.59</v>
      </c>
    </row>
    <row r="14" spans="3:6">
      <c r="C14" s="33" t="s">
        <v>269</v>
      </c>
      <c r="D14" s="33">
        <v>262</v>
      </c>
      <c r="E14" s="33">
        <f>ОСБ!D62</f>
        <v>151321.74</v>
      </c>
      <c r="F14" s="33">
        <f>ОСБ!H62</f>
        <v>0</v>
      </c>
    </row>
    <row r="15" spans="3:6">
      <c r="C15" s="33" t="s">
        <v>270</v>
      </c>
      <c r="D15" s="33">
        <v>264</v>
      </c>
      <c r="E15" s="33">
        <f>ОСБ!D65</f>
        <v>27500</v>
      </c>
      <c r="F15" s="33">
        <f>ОСБ!H65</f>
        <v>27500</v>
      </c>
    </row>
    <row r="16" spans="3:6">
      <c r="C16" s="35" t="s">
        <v>271</v>
      </c>
      <c r="D16" s="36">
        <v>290</v>
      </c>
      <c r="E16" s="37">
        <f>SUM(E7:E15)</f>
        <v>1215027.3</v>
      </c>
      <c r="F16" s="37">
        <f>SUM(F7:F15)</f>
        <v>716507.41</v>
      </c>
    </row>
    <row r="17" spans="3:6">
      <c r="C17" s="36" t="s">
        <v>272</v>
      </c>
      <c r="D17" s="36">
        <v>300</v>
      </c>
      <c r="E17" s="36">
        <f>E16+E6</f>
        <v>5000631</v>
      </c>
      <c r="F17" s="36">
        <f>F16+F6</f>
        <v>4621145.27625</v>
      </c>
    </row>
    <row r="19" ht="17" customHeight="1" spans="3:6">
      <c r="C19" s="33" t="s">
        <v>273</v>
      </c>
      <c r="D19" s="33"/>
      <c r="E19" s="33"/>
      <c r="F19" s="33"/>
    </row>
    <row r="20" ht="30" spans="3:6">
      <c r="C20" s="34" t="s">
        <v>274</v>
      </c>
      <c r="D20" s="33">
        <v>410</v>
      </c>
      <c r="E20" s="33">
        <f>ОСБ!E108</f>
        <v>4569350.31</v>
      </c>
      <c r="F20" s="33">
        <f>ОСБ!I108</f>
        <v>4569350.31</v>
      </c>
    </row>
    <row r="21" spans="3:6">
      <c r="C21" s="33" t="s">
        <v>275</v>
      </c>
      <c r="D21" s="33">
        <v>430</v>
      </c>
      <c r="E21" s="33">
        <f>ОСБ!E109</f>
        <v>132500</v>
      </c>
      <c r="F21" s="33">
        <f>ОСБ!I109</f>
        <v>132500</v>
      </c>
    </row>
    <row r="22" spans="3:6">
      <c r="C22" s="33" t="s">
        <v>276</v>
      </c>
      <c r="D22" s="33">
        <v>460</v>
      </c>
      <c r="E22" s="33">
        <f>ОСБ!E111</f>
        <v>121084.86</v>
      </c>
      <c r="F22" s="33">
        <f>0</f>
        <v>0</v>
      </c>
    </row>
    <row r="23" spans="3:6">
      <c r="C23" s="33" t="s">
        <v>277</v>
      </c>
      <c r="D23" s="33">
        <v>475</v>
      </c>
      <c r="E23" s="33" t="s">
        <v>278</v>
      </c>
      <c r="F23" s="33">
        <f>ОСБ!H111</f>
        <v>388569.517433333</v>
      </c>
    </row>
    <row r="24" spans="3:6">
      <c r="C24" s="35" t="s">
        <v>279</v>
      </c>
      <c r="D24" s="36">
        <v>490</v>
      </c>
      <c r="E24" s="37">
        <f>SUM(E20:E22)</f>
        <v>4822935.17</v>
      </c>
      <c r="F24" s="37">
        <f>F20+F21-F23</f>
        <v>4313280.79256667</v>
      </c>
    </row>
    <row r="25" ht="28.5" spans="3:7">
      <c r="C25" s="34" t="s">
        <v>280</v>
      </c>
      <c r="D25" s="33">
        <v>610</v>
      </c>
      <c r="E25" s="33">
        <f>ОСБ!E83</f>
        <v>19748.16</v>
      </c>
      <c r="F25" s="33">
        <f>ОСБ!I83</f>
        <v>0</v>
      </c>
      <c r="G25" s="39" t="s">
        <v>281</v>
      </c>
    </row>
    <row r="26" spans="3:6">
      <c r="C26" s="33" t="s">
        <v>282</v>
      </c>
      <c r="D26" s="33">
        <v>621</v>
      </c>
      <c r="E26" s="33">
        <f>ОСБ!E77</f>
        <v>0</v>
      </c>
      <c r="F26" s="33">
        <f>ОСБ!I77</f>
        <v>0</v>
      </c>
    </row>
    <row r="27" spans="3:6">
      <c r="C27" s="33" t="s">
        <v>283</v>
      </c>
      <c r="D27" s="33">
        <v>624</v>
      </c>
      <c r="E27" s="33">
        <f>ОСБ!E100</f>
        <v>0</v>
      </c>
      <c r="F27" s="33">
        <f>ОСБ!I100</f>
        <v>0</v>
      </c>
    </row>
    <row r="28" ht="30" spans="3:6">
      <c r="C28" s="33" t="s">
        <v>284</v>
      </c>
      <c r="D28" s="33">
        <v>625</v>
      </c>
      <c r="E28" s="33">
        <f>ОСБ!E95</f>
        <v>43480.97</v>
      </c>
      <c r="F28" s="33">
        <f>ОСБ!I95</f>
        <v>43480.97</v>
      </c>
    </row>
    <row r="29" spans="3:6">
      <c r="C29" s="40" t="s">
        <v>285</v>
      </c>
      <c r="D29" s="33">
        <v>626</v>
      </c>
      <c r="E29" s="33">
        <f>ОСБ!E91</f>
        <v>114466.7</v>
      </c>
      <c r="F29" s="33">
        <f>ОСБ!I91</f>
        <v>71188.6333333333</v>
      </c>
    </row>
    <row r="30" spans="3:7">
      <c r="C30" t="s">
        <v>286</v>
      </c>
      <c r="D30" s="41">
        <v>660</v>
      </c>
      <c r="E30" s="42">
        <f>0</f>
        <v>0</v>
      </c>
      <c r="F30" s="42">
        <f>ОСБ!I62</f>
        <v>193194.88035</v>
      </c>
      <c r="G30" s="39" t="s">
        <v>287</v>
      </c>
    </row>
    <row r="31" spans="3:6">
      <c r="C31" s="43" t="s">
        <v>288</v>
      </c>
      <c r="D31" s="36">
        <v>690</v>
      </c>
      <c r="E31" s="37">
        <f>SUM(E25:E29)</f>
        <v>177695.83</v>
      </c>
      <c r="F31" s="37">
        <f>SUM(F25:F30)</f>
        <v>307864.483683333</v>
      </c>
    </row>
    <row r="32" spans="3:6">
      <c r="C32" s="43" t="s">
        <v>289</v>
      </c>
      <c r="D32" s="36">
        <v>700</v>
      </c>
      <c r="E32" s="36">
        <f>E31+E24</f>
        <v>5000631</v>
      </c>
      <c r="F32" s="36">
        <f>F31+F24</f>
        <v>4621145.27625</v>
      </c>
    </row>
    <row r="34" spans="5:6">
      <c r="E34" s="32">
        <f>E17-E32</f>
        <v>0</v>
      </c>
      <c r="F34" s="32">
        <f>F32-F17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6"/>
  <sheetViews>
    <sheetView workbookViewId="0">
      <selection activeCell="D5" sqref="D5"/>
    </sheetView>
  </sheetViews>
  <sheetFormatPr defaultColWidth="9.14285714285714" defaultRowHeight="18.75" outlineLevelCol="4"/>
  <cols>
    <col min="1" max="1" width="9.14285714285714" style="21"/>
    <col min="2" max="2" width="57.2857142857143" style="22" customWidth="1"/>
    <col min="3" max="3" width="11.5714285714286" style="22" customWidth="1"/>
    <col min="4" max="4" width="36.8571428571429" style="22" customWidth="1"/>
    <col min="5" max="5" width="18.1428571428571" style="22" customWidth="1"/>
    <col min="6" max="16384" width="9.14285714285714" style="21"/>
  </cols>
  <sheetData>
    <row r="2" spans="2:5">
      <c r="B2" s="23" t="s">
        <v>290</v>
      </c>
      <c r="C2" s="23"/>
      <c r="D2" s="23"/>
      <c r="E2" s="24"/>
    </row>
    <row r="3" ht="56.25" spans="2:4">
      <c r="B3" s="25" t="s">
        <v>291</v>
      </c>
      <c r="C3" s="25" t="s">
        <v>256</v>
      </c>
      <c r="D3" s="23" t="s">
        <v>292</v>
      </c>
    </row>
    <row r="4" spans="2:4">
      <c r="B4" s="26" t="s">
        <v>293</v>
      </c>
      <c r="C4" s="26"/>
      <c r="D4" s="26"/>
    </row>
    <row r="5" ht="75" spans="2:5">
      <c r="B5" s="25" t="s">
        <v>294</v>
      </c>
      <c r="C5" s="25">
        <v>10</v>
      </c>
      <c r="D5" s="25">
        <v>0</v>
      </c>
      <c r="E5" s="27" t="s">
        <v>295</v>
      </c>
    </row>
    <row r="6" ht="37.5" spans="2:5">
      <c r="B6" s="25" t="s">
        <v>296</v>
      </c>
      <c r="C6" s="25">
        <v>20</v>
      </c>
      <c r="D6" s="25">
        <v>0</v>
      </c>
      <c r="E6" s="27" t="s">
        <v>297</v>
      </c>
    </row>
    <row r="7" spans="2:4">
      <c r="B7" s="25" t="s">
        <v>298</v>
      </c>
      <c r="C7" s="25">
        <v>29</v>
      </c>
      <c r="D7" s="25">
        <f>D5-D6</f>
        <v>0</v>
      </c>
    </row>
    <row r="8" spans="2:5">
      <c r="B8" s="28" t="s">
        <v>299</v>
      </c>
      <c r="C8" s="25">
        <v>30</v>
      </c>
      <c r="D8" s="25">
        <f>ОСБ!F112</f>
        <v>81081.3333333333</v>
      </c>
      <c r="E8" s="27" t="s">
        <v>300</v>
      </c>
    </row>
    <row r="9" spans="2:5">
      <c r="B9" s="25" t="s">
        <v>301</v>
      </c>
      <c r="C9" s="25">
        <v>40</v>
      </c>
      <c r="D9" s="25">
        <f>ОСБ!F113</f>
        <v>405830.22375</v>
      </c>
      <c r="E9" s="27" t="s">
        <v>302</v>
      </c>
    </row>
    <row r="10" spans="2:5">
      <c r="B10" s="28" t="s">
        <v>303</v>
      </c>
      <c r="C10" s="25">
        <v>50</v>
      </c>
      <c r="D10" s="25">
        <f>-(D7-D9-D8)</f>
        <v>486911.557083333</v>
      </c>
      <c r="E10" s="27" t="s">
        <v>304</v>
      </c>
    </row>
    <row r="11" spans="2:4">
      <c r="B11" s="29" t="s">
        <v>305</v>
      </c>
      <c r="C11" s="23"/>
      <c r="D11" s="23"/>
    </row>
    <row r="12" spans="2:5">
      <c r="B12" s="25" t="s">
        <v>306</v>
      </c>
      <c r="C12" s="25">
        <v>70</v>
      </c>
      <c r="D12" s="25">
        <f>ОСБ!F116</f>
        <v>1922</v>
      </c>
      <c r="E12" s="27" t="s">
        <v>307</v>
      </c>
    </row>
    <row r="13" spans="2:5">
      <c r="B13" s="23" t="s">
        <v>308</v>
      </c>
      <c r="C13" s="23">
        <v>90</v>
      </c>
      <c r="D13" s="23">
        <f>0</f>
        <v>0</v>
      </c>
      <c r="E13" s="27" t="s">
        <v>309</v>
      </c>
    </row>
    <row r="14" spans="2:5">
      <c r="B14" s="23" t="s">
        <v>310</v>
      </c>
      <c r="C14" s="23">
        <v>100</v>
      </c>
      <c r="D14" s="23">
        <v>0</v>
      </c>
      <c r="E14" s="27" t="s">
        <v>311</v>
      </c>
    </row>
    <row r="15" spans="2:4">
      <c r="B15" s="29" t="s">
        <v>312</v>
      </c>
      <c r="C15" s="23"/>
      <c r="D15" s="23"/>
    </row>
    <row r="16" ht="37.5" spans="2:5">
      <c r="B16" s="30" t="s">
        <v>313</v>
      </c>
      <c r="C16" s="23">
        <v>140</v>
      </c>
      <c r="D16" s="23">
        <f>D10+D12</f>
        <v>488833.557083333</v>
      </c>
      <c r="E16" s="27" t="s">
        <v>314</v>
      </c>
    </row>
    <row r="17" spans="2:4">
      <c r="B17" s="23" t="s">
        <v>315</v>
      </c>
      <c r="C17" s="23">
        <v>150</v>
      </c>
      <c r="D17" s="23">
        <f>ОСБ!F122</f>
        <v>20820.82035</v>
      </c>
    </row>
    <row r="18" spans="2:4">
      <c r="B18" s="23" t="s">
        <v>316</v>
      </c>
      <c r="C18" s="23">
        <v>160</v>
      </c>
      <c r="D18" s="23">
        <f>D16+D17</f>
        <v>509654.377433333</v>
      </c>
    </row>
    <row r="19" spans="2:5">
      <c r="B19" s="23" t="s">
        <v>317</v>
      </c>
      <c r="C19" s="23">
        <v>190</v>
      </c>
      <c r="D19" s="23">
        <f>D18</f>
        <v>509654.377433333</v>
      </c>
      <c r="E19" s="27" t="s">
        <v>318</v>
      </c>
    </row>
    <row r="21" spans="2:5">
      <c r="B21" s="31"/>
      <c r="C21" s="31"/>
      <c r="D21" s="31"/>
      <c r="E21" s="22" t="s">
        <v>319</v>
      </c>
    </row>
    <row r="22" spans="2:4">
      <c r="B22" s="31"/>
      <c r="C22" s="31"/>
      <c r="D22" s="31">
        <f>D19-'Книга учета хоз. операций'!G85</f>
        <v>0</v>
      </c>
    </row>
    <row r="23" spans="2:4">
      <c r="B23" s="31"/>
      <c r="C23" s="31"/>
      <c r="D23" s="31"/>
    </row>
    <row r="24" spans="2:4">
      <c r="B24" s="31"/>
      <c r="C24" s="31"/>
      <c r="D24" s="31"/>
    </row>
    <row r="25" spans="2:4">
      <c r="B25" s="31"/>
      <c r="C25" s="31"/>
      <c r="D25" s="31"/>
    </row>
    <row r="26" spans="2:4">
      <c r="B26" s="31"/>
      <c r="C26" s="31"/>
      <c r="D26" s="31"/>
    </row>
  </sheetData>
  <mergeCells count="2">
    <mergeCell ref="B2:D2"/>
    <mergeCell ref="B4:D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"/>
  <sheetViews>
    <sheetView tabSelected="1" workbookViewId="0">
      <selection activeCell="C6" sqref="C6:D6"/>
    </sheetView>
  </sheetViews>
  <sheetFormatPr defaultColWidth="9.14285714285714" defaultRowHeight="18.75"/>
  <cols>
    <col min="1" max="1" width="9.14285714285714" style="1"/>
    <col min="2" max="2" width="16" style="1" customWidth="1"/>
    <col min="3" max="3" width="19.8571428571429" style="1" customWidth="1"/>
    <col min="4" max="4" width="22.2857142857143" style="1" customWidth="1"/>
    <col min="5" max="5" width="109" style="2" customWidth="1"/>
    <col min="6" max="6" width="24.1428571428571" style="1" customWidth="1"/>
    <col min="7" max="7" width="22" style="1" customWidth="1"/>
    <col min="8" max="8" width="20.4285714285714" style="1" customWidth="1"/>
    <col min="9" max="9" width="18.4285714285714" style="1" customWidth="1"/>
    <col min="10" max="10" width="14.5714285714286" style="1" customWidth="1"/>
    <col min="11" max="16384" width="9.14285714285714" style="1"/>
  </cols>
  <sheetData>
    <row r="2" ht="56.25" spans="2:5">
      <c r="B2" s="3"/>
      <c r="C2" s="4" t="s">
        <v>320</v>
      </c>
      <c r="D2" s="4" t="s">
        <v>321</v>
      </c>
      <c r="E2" s="5" t="s">
        <v>322</v>
      </c>
    </row>
    <row r="3" spans="2:5">
      <c r="B3" s="6"/>
      <c r="C3" s="6" t="s">
        <v>323</v>
      </c>
      <c r="D3" s="6"/>
      <c r="E3" s="7"/>
    </row>
    <row r="4" ht="37.5" spans="2:5">
      <c r="B4" s="8" t="s">
        <v>324</v>
      </c>
      <c r="C4" s="9">
        <f>'Форма 1'!E31/'Форма 1'!E17</f>
        <v>0.0355346815231918</v>
      </c>
      <c r="D4" s="9">
        <f>'Форма 1'!F31/'Форма 1'!F17</f>
        <v>0.066620819143163</v>
      </c>
      <c r="E4" s="7" t="s">
        <v>325</v>
      </c>
    </row>
    <row r="5" ht="37.5" spans="2:5">
      <c r="B5" s="8" t="s">
        <v>326</v>
      </c>
      <c r="C5" s="10">
        <f>'Форма 1'!E31/'Форма 1'!E24</f>
        <v>0.0368439184306929</v>
      </c>
      <c r="D5" s="10">
        <f>'Форма 1'!F31/'Форма 1'!F24</f>
        <v>0.0713759429281522</v>
      </c>
      <c r="E5" s="7" t="s">
        <v>327</v>
      </c>
    </row>
    <row r="6" ht="37.5" spans="2:5">
      <c r="B6" s="8" t="s">
        <v>328</v>
      </c>
      <c r="C6" s="11">
        <f>IF('Форма 2'!D12=0,"Нет исходных данных",-'Форма 2'!D10/'Форма 2'!D12)</f>
        <v>-253.335877774887</v>
      </c>
      <c r="D6" s="12"/>
      <c r="E6" s="7" t="s">
        <v>329</v>
      </c>
    </row>
    <row r="7" spans="2:5">
      <c r="B7" s="6" t="s">
        <v>330</v>
      </c>
      <c r="C7" s="6"/>
      <c r="D7" s="6"/>
      <c r="E7" s="7"/>
    </row>
    <row r="8" ht="37.5" spans="2:5">
      <c r="B8" s="8" t="s">
        <v>331</v>
      </c>
      <c r="C8" s="13">
        <f>'Форма 1'!E16/'Форма 1'!E31</f>
        <v>6.83768043403157</v>
      </c>
      <c r="D8" s="13">
        <f>'Форма 1'!F16/'Форма 1'!F31</f>
        <v>2.32734676448418</v>
      </c>
      <c r="E8" s="7" t="s">
        <v>332</v>
      </c>
    </row>
    <row r="9" ht="37.5" spans="2:5">
      <c r="B9" s="8" t="s">
        <v>333</v>
      </c>
      <c r="C9" s="6">
        <f>('Форма 1'!E12+'Форма 1'!E13+'Форма 1'!E14+'Форма 1'!E15)/'Форма 1'!E32</f>
        <v>0.0382006390793482</v>
      </c>
      <c r="D9" s="6">
        <f>('Форма 1'!F12+'Форма 1'!F13+'Форма 1'!F14+'Форма 1'!F15)/'Форма 1'!F32</f>
        <v>0.00951724245200308</v>
      </c>
      <c r="E9" s="7" t="s">
        <v>334</v>
      </c>
    </row>
    <row r="10" ht="37.5" spans="2:5">
      <c r="B10" s="8" t="s">
        <v>335</v>
      </c>
      <c r="C10" s="14">
        <f>('Форма 1'!E13+'Форма 1'!E14+'Форма 1'!E15)/'Форма 1'!E31</f>
        <v>1.0733022266195</v>
      </c>
      <c r="D10" s="14">
        <f>('Форма 1'!F13+'Форма 1'!F14+'Форма 1'!F15)/'Форма 1'!F31</f>
        <v>0.127977055127041</v>
      </c>
      <c r="E10" s="7" t="s">
        <v>336</v>
      </c>
    </row>
    <row r="11" ht="37.5" spans="2:5">
      <c r="B11" s="8" t="s">
        <v>337</v>
      </c>
      <c r="C11" s="14">
        <f>'Форма 1'!E16-'Форма 1'!E31</f>
        <v>1037331.47</v>
      </c>
      <c r="D11" s="14">
        <f>'Форма 1'!F16-'Форма 1'!F31</f>
        <v>408642.926316667</v>
      </c>
      <c r="E11" s="7" t="s">
        <v>338</v>
      </c>
    </row>
    <row r="12" spans="2:5">
      <c r="B12" s="6" t="s">
        <v>339</v>
      </c>
      <c r="C12" s="6"/>
      <c r="D12" s="6"/>
      <c r="E12" s="7"/>
    </row>
    <row r="13" ht="37.5" spans="2:5">
      <c r="B13" s="15" t="s">
        <v>340</v>
      </c>
      <c r="C13" s="10">
        <f>-'Форма 2'!D19/'Форма 1'!E17</f>
        <v>-0.101918013433371</v>
      </c>
      <c r="D13" s="10">
        <f>-'Форма 2'!D19/'Форма 1'!F17</f>
        <v>-0.110287460567981</v>
      </c>
      <c r="E13" s="7" t="s">
        <v>341</v>
      </c>
    </row>
    <row r="14" ht="37.5" spans="2:5">
      <c r="B14" s="8" t="s">
        <v>342</v>
      </c>
      <c r="C14" s="10">
        <f>-'Форма 2'!D19/'Форма 1'!E24</f>
        <v>-0.105673072406929</v>
      </c>
      <c r="D14" s="10">
        <f>-'Форма 2'!D19/'Форма 1'!F24</f>
        <v>-0.118159332059172</v>
      </c>
      <c r="E14" s="7" t="s">
        <v>343</v>
      </c>
    </row>
    <row r="15" spans="2:5">
      <c r="B15" s="8" t="s">
        <v>344</v>
      </c>
      <c r="C15" s="10">
        <f>-('Форма 2'!D19+'Форма 2'!D12*(1-0.2))/('Форма 1'!E24+'Форма 1'!E29)</f>
        <v>-0.103534610082961</v>
      </c>
      <c r="D15" s="10">
        <f>-('Форма 2'!D19+'Форма 2'!D12*(1-0.2))/('Форма 1'!F24+'Форма 1'!F29)</f>
        <v>-0.116591525171464</v>
      </c>
      <c r="E15" s="7" t="s">
        <v>345</v>
      </c>
    </row>
    <row r="16" spans="2:5">
      <c r="B16" s="8" t="s">
        <v>346</v>
      </c>
      <c r="C16" s="16" t="s">
        <v>347</v>
      </c>
      <c r="D16" s="17"/>
      <c r="E16" s="7" t="s">
        <v>348</v>
      </c>
    </row>
    <row r="17" spans="2:5">
      <c r="B17" s="6" t="s">
        <v>349</v>
      </c>
      <c r="C17" s="6"/>
      <c r="D17" s="6"/>
      <c r="E17" s="7"/>
    </row>
    <row r="18" ht="37.5" spans="2:5">
      <c r="B18" s="8" t="s">
        <v>350</v>
      </c>
      <c r="C18" s="6">
        <f>1</f>
        <v>1</v>
      </c>
      <c r="D18" s="6"/>
      <c r="E18" s="7" t="s">
        <v>351</v>
      </c>
    </row>
    <row r="19" ht="37.5" spans="2:5">
      <c r="B19" s="8" t="s">
        <v>352</v>
      </c>
      <c r="C19" s="18">
        <v>0</v>
      </c>
      <c r="D19" s="18"/>
      <c r="E19" s="7" t="s">
        <v>353</v>
      </c>
    </row>
    <row r="20" ht="56.25" spans="2:10">
      <c r="B20" s="8" t="s">
        <v>354</v>
      </c>
      <c r="C20" s="6">
        <f>1.2*C21+1.4*C22+3.3*C23+0.6*C24+0.999*C25</f>
        <v>4.16281688177986</v>
      </c>
      <c r="D20" s="6"/>
      <c r="E20" s="7" t="s">
        <v>355</v>
      </c>
      <c r="G20"/>
      <c r="H20"/>
      <c r="I20"/>
      <c r="J20"/>
    </row>
    <row r="21" spans="2:10">
      <c r="B21" s="19" t="s">
        <v>356</v>
      </c>
      <c r="C21" s="6">
        <f>'Форма 1'!E16/'Форма 1'!E17</f>
        <v>0.242974796580671</v>
      </c>
      <c r="D21" s="3"/>
      <c r="E21" s="20"/>
      <c r="F21"/>
      <c r="G21"/>
      <c r="H21"/>
      <c r="I21"/>
      <c r="J21"/>
    </row>
    <row r="22" spans="2:5">
      <c r="B22" s="19" t="s">
        <v>357</v>
      </c>
      <c r="C22" s="6">
        <f>-('Форма 1'!F22-'Форма 1'!F23)/'Форма 1'!F17</f>
        <v>0.0840851118510285</v>
      </c>
      <c r="D22" s="3"/>
      <c r="E22" s="20"/>
    </row>
    <row r="23" spans="2:5">
      <c r="B23" s="19" t="s">
        <v>358</v>
      </c>
      <c r="C23" s="6">
        <f>-'Форма 2'!D16/'Форма 1'!F17</f>
        <v>-0.105781906402219</v>
      </c>
      <c r="D23" s="3"/>
      <c r="E23" s="20"/>
    </row>
    <row r="24" spans="2:5">
      <c r="B24" s="19" t="s">
        <v>359</v>
      </c>
      <c r="C24" s="6">
        <f>'Форма 1'!E16/'Форма 1'!E31</f>
        <v>6.83768043403157</v>
      </c>
      <c r="D24" s="3"/>
      <c r="E24" s="20"/>
    </row>
    <row r="25" spans="2:5">
      <c r="B25" s="19" t="s">
        <v>360</v>
      </c>
      <c r="C25" s="6">
        <f>'Форма 2'!D5/'Форма 1'!F17</f>
        <v>0</v>
      </c>
      <c r="D25" s="3"/>
      <c r="E25" s="20"/>
    </row>
  </sheetData>
  <mergeCells count="9">
    <mergeCell ref="C3:D3"/>
    <mergeCell ref="C6:D6"/>
    <mergeCell ref="B7:D7"/>
    <mergeCell ref="B12:D12"/>
    <mergeCell ref="C16:D16"/>
    <mergeCell ref="B17:D17"/>
    <mergeCell ref="C18:D18"/>
    <mergeCell ref="C19:D19"/>
    <mergeCell ref="C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Остатки счетам баланса за 3 кв</vt:lpstr>
      <vt:lpstr>Книга учета хоз. операций</vt:lpstr>
      <vt:lpstr>ОСБ</vt:lpstr>
      <vt:lpstr>Форма 1</vt:lpstr>
      <vt:lpstr>Форма 2</vt:lpstr>
      <vt:lpstr>Финансовое состояние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fergus</cp:lastModifiedBy>
  <dcterms:created xsi:type="dcterms:W3CDTF">2026-04-14T04:28:00Z</dcterms:created>
  <dcterms:modified xsi:type="dcterms:W3CDTF">2026-04-15T05:29:00Z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9CEB434BCD1648AD89CB07991C9F0FA9_11</vt:lpwstr>
  </property>
  <property fmtid="{D5CDD505-2E9C-101B-9397-08002B2CF9AE}" pid="3" name="KSOProductBuildVer">
    <vt:lpwstr>1049-12.2.0.23201</vt:lpwstr>
  </property>
</Properties>
</file>