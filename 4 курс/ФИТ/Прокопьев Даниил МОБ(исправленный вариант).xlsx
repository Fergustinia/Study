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885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<sst xmlns="http://schemas.openxmlformats.org/spreadsheetml/2006/main" count="116" uniqueCount="53">
  <si>
    <t>5 вариант</t>
  </si>
  <si>
    <t>Элементы системы</t>
  </si>
  <si>
    <t>Транспорт</t>
  </si>
  <si>
    <t>Промышленность</t>
  </si>
  <si>
    <t>Сельское хозяйство</t>
  </si>
  <si>
    <t>Прочие отрасли</t>
  </si>
  <si>
    <t>Конечный продукт</t>
  </si>
  <si>
    <t>Валовой продукт</t>
  </si>
  <si>
    <t>Фонд оплаты труда</t>
  </si>
  <si>
    <t>Прибыль</t>
  </si>
  <si>
    <t>Амортизация</t>
  </si>
  <si>
    <t>Суммы промежуточного потребления</t>
  </si>
  <si>
    <r>
      <rPr>
        <sz val="11"/>
        <color theme="1"/>
        <rFont val="Calibri"/>
        <charset val="204"/>
        <scheme val="minor"/>
      </rPr>
      <t xml:space="preserve">КП = ВП - </t>
    </r>
    <r>
      <rPr>
        <sz val="11"/>
        <color theme="1"/>
        <rFont val="Aptos Narrow"/>
        <charset val="134"/>
      </rPr>
      <t>∑xij</t>
    </r>
  </si>
  <si>
    <t xml:space="preserve">                                  </t>
  </si>
  <si>
    <t xml:space="preserve">          Работа не зачтена. Основа расчетов = файл Булгаковой Л.  Поэтому ваши выводы не соответствуют расчетной информации!</t>
  </si>
  <si>
    <t>Технологическая матрица прямых материальных затрат</t>
  </si>
  <si>
    <t>Почему?</t>
  </si>
  <si>
    <t xml:space="preserve">Расчитаем плановый конечный продукт </t>
  </si>
  <si>
    <t xml:space="preserve">Отрасль </t>
  </si>
  <si>
    <t xml:space="preserve">Процент изменения </t>
  </si>
  <si>
    <t>КП</t>
  </si>
  <si>
    <t>=</t>
  </si>
  <si>
    <t>Jβ = β текущего года / β базисный год</t>
  </si>
  <si>
    <t>β базисного года</t>
  </si>
  <si>
    <t>β текущего года</t>
  </si>
  <si>
    <t>Jβ</t>
  </si>
  <si>
    <t>&gt;1 - валовой продукт растет быстрее конечного (регресс, экономика пошла
на спад)</t>
  </si>
  <si>
    <t>&lt;1 - валовой продукт растет медленнее конечного (прогресс, экономика пошла
вверх)</t>
  </si>
  <si>
    <t>текст не корректный</t>
  </si>
  <si>
    <t>Коэффициент прямых затрат труда базисный год</t>
  </si>
  <si>
    <t>tj</t>
  </si>
  <si>
    <t>Увеличение фонда оплаты труда на 3.5% (Текущий год)</t>
  </si>
  <si>
    <t>Lj + 3.5%</t>
  </si>
  <si>
    <t>Коэффициент прямых затрат труда  планового года</t>
  </si>
  <si>
    <t xml:space="preserve">α - доля живого труда = </t>
  </si>
  <si>
    <t>итоговый результат</t>
  </si>
  <si>
    <t>Tj = t*(E-A)^-1 -  коэффициент полных затрат труда на единицу j- продукции</t>
  </si>
  <si>
    <t>Зачем?</t>
  </si>
  <si>
    <t>α - доля живого труда = (t*x)/(T*x)</t>
  </si>
  <si>
    <t>Jα = α базисный  год / α текущий год</t>
  </si>
  <si>
    <t>α базисный год</t>
  </si>
  <si>
    <t>α текущий год</t>
  </si>
  <si>
    <t>Jα</t>
  </si>
  <si>
    <t>&lt;1 – Доля текущей зарплаты в общей трудовой стоимости продукции стала меньше</t>
  </si>
  <si>
    <t>&gt;1 – Доля текущей зарплаты в общей трудовой стоимости продукции стала больше</t>
  </si>
  <si>
    <t>aij*pi</t>
  </si>
  <si>
    <t>Материалоёмкость - (сумма по I в матрице прямых материальных затрат)</t>
  </si>
  <si>
    <t>sj = Амортизация/ВП</t>
  </si>
  <si>
    <t>Все показатели за текущий год (плановый)</t>
  </si>
  <si>
    <t>pj</t>
  </si>
  <si>
    <t>Выводы не соответствуют данным</t>
  </si>
  <si>
    <t>Плановый чистый доход mj=Vj*Zj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</si>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</sst>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00"/>
    <numFmt numFmtId="181" formatCode="0.0000"/>
  </numFmts>
  <fonts count="29">
    <font>
      <sz val="11"/>
      <color theme="1"/>
      <name val="Calibri"/>
      <charset val="134"/>
      <scheme val="minor"/>
    </font>
    <font>
      <sz val="11"/>
      <color theme="1"/>
      <name val="Calibri"/>
      <charset val="20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0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204"/>
      <scheme val="minor"/>
    </font>
    <font>
      <sz val="11"/>
      <color rgb="FF00B050"/>
      <name val="Calibri"/>
      <charset val="204"/>
      <scheme val="minor"/>
    </font>
    <font>
      <sz val="11"/>
      <color theme="1"/>
      <name val="Aptos Narrow"/>
      <charset val="134"/>
    </font>
    <font>
      <sz val="11"/>
      <color rgb="FF0F111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80" fontId="1" fillId="0" borderId="1" xfId="0" applyNumberFormat="1" applyFont="1" applyFill="1" applyBorder="1" applyAlignment="1">
      <alignment horizontal="center" vertical="center"/>
    </xf>
    <xf numFmtId="180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10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80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1" fillId="0" borderId="0" xfId="0" applyFont="1" applyFill="1" applyAlignment="1"/>
    <xf numFmtId="0" fontId="6" fillId="0" borderId="1" xfId="0" applyFont="1" applyFill="1" applyBorder="1" applyAlignment="1">
      <alignment horizontal="center" vertical="center"/>
    </xf>
    <xf numFmtId="180" fontId="0" fillId="0" borderId="0" xfId="0" applyNumberFormat="1" applyFont="1" applyFill="1" applyBorder="1" applyAlignment="1">
      <alignment horizontal="center" vertical="center"/>
    </xf>
    <xf numFmtId="181" fontId="1" fillId="2" borderId="1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180" fontId="3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2" fillId="0" borderId="0" xfId="0" applyFont="1" applyFill="1" applyAlignment="1" quotePrefix="1">
      <alignment horizontal="center" vertical="center"/>
    </xf>
    <xf numFmtId="0" fontId="1" fillId="0" borderId="0" xfId="0" applyFont="1" applyFill="1" applyAlignment="1" quotePrefix="1">
      <alignment horizontal="center" vertical="center"/>
    </xf>
    <xf numFmtId="0" fontId="7" fillId="0" borderId="0" xfId="0" applyFont="1" applyFill="1" applyAlignment="1" quotePrefix="1">
      <alignment horizontal="center" vertical="center" wrapText="1"/>
    </xf>
    <xf numFmtId="0" fontId="6" fillId="0" borderId="0" xfId="0" applyFont="1" applyFill="1" applyAlignment="1" quotePrefix="1">
      <alignment horizontal="center" vertical="center" wrapText="1"/>
    </xf>
    <xf numFmtId="0" fontId="3" fillId="0" borderId="1" xfId="0" applyFont="1" applyFill="1" applyBorder="1" applyAlignment="1" quotePrefix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535305</xdr:colOff>
      <xdr:row>31</xdr:row>
      <xdr:rowOff>119380</xdr:rowOff>
    </xdr:from>
    <xdr:ext cx="6588125" cy="646430"/>
    <xdr:sp>
      <xdr:nvSpPr>
        <xdr:cNvPr id="2" name="Текстовое поле 1"/>
        <xdr:cNvSpPr txBox="1"/>
      </xdr:nvSpPr>
      <xdr:spPr>
        <a:xfrm>
          <a:off x="535305" y="6341745"/>
          <a:ext cx="6588125" cy="6464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ru-RU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ru-RU" altLang="en-US" sz="1100"/>
            <a:t>2. Рассчитать на базе материалоемкости отчетного года плановый валовой продукт отраслей, если</a:t>
          </a:r>
          <a:endParaRPr lang="ru-RU" altLang="en-US" sz="1100"/>
        </a:p>
        <a:p>
          <a:pPr algn="l"/>
          <a:r>
            <a:rPr lang="ru-RU" altLang="en-US" sz="1100"/>
            <a:t>конечный продукт промышленности возрастет на 4,2 % по сравнеию с отчетным годом,</a:t>
          </a:r>
          <a:endParaRPr lang="ru-RU" altLang="en-US" sz="1100"/>
        </a:p>
        <a:p>
          <a:pPr algn="l"/>
          <a:r>
            <a:rPr lang="ru-RU" altLang="en-US" sz="1100"/>
            <a:t>сельского хозяйства возрастет на 3,0 %, прочих отраслей и транспорта возрастет на 0,5 %.</a:t>
          </a:r>
          <a:endParaRPr lang="ru-RU" altLang="en-US" sz="1100"/>
        </a:p>
      </xdr:txBody>
    </xdr:sp>
    <xdr:clientData/>
  </xdr:oneCellAnchor>
  <xdr:oneCellAnchor>
    <xdr:from>
      <xdr:col>1</xdr:col>
      <xdr:colOff>140335</xdr:colOff>
      <xdr:row>70</xdr:row>
      <xdr:rowOff>97790</xdr:rowOff>
    </xdr:from>
    <xdr:ext cx="6660515" cy="640080"/>
    <xdr:sp>
      <xdr:nvSpPr>
        <xdr:cNvPr id="3" name="Текстовое поле 2"/>
        <xdr:cNvSpPr txBox="1"/>
      </xdr:nvSpPr>
      <xdr:spPr>
        <a:xfrm>
          <a:off x="826135" y="15476220"/>
          <a:ext cx="6660515" cy="6400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ru-RU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ru-RU" altLang="en-US" sz="1100"/>
            <a:t>4. Проанализировать динамику соотношений живого и овеществленного труда в валовом продукте</a:t>
          </a:r>
          <a:endParaRPr lang="ru-RU" altLang="en-US" sz="1100"/>
        </a:p>
        <a:p>
          <a:pPr algn="l"/>
          <a:r>
            <a:rPr lang="ru-RU" altLang="en-US" sz="1100"/>
            <a:t>каждой отрасли, если фонд оплаты труда в плановом году по всем отраслям возрастет на 3,5% .</a:t>
          </a:r>
          <a:endParaRPr lang="ru-RU" altLang="en-US" sz="1100"/>
        </a:p>
        <a:p>
          <a:pPr algn="l"/>
          <a:endParaRPr lang="ru-RU" altLang="en-US" sz="1100"/>
        </a:p>
      </xdr:txBody>
    </xdr:sp>
    <xdr:clientData/>
  </xdr:oneCellAnchor>
  <xdr:oneCellAnchor>
    <xdr:from>
      <xdr:col>0</xdr:col>
      <xdr:colOff>149860</xdr:colOff>
      <xdr:row>12</xdr:row>
      <xdr:rowOff>159385</xdr:rowOff>
    </xdr:from>
    <xdr:ext cx="4322445" cy="283210"/>
    <xdr:sp>
      <xdr:nvSpPr>
        <xdr:cNvPr id="4" name="Текстовое поле 3"/>
        <xdr:cNvSpPr txBox="1"/>
      </xdr:nvSpPr>
      <xdr:spPr>
        <a:xfrm>
          <a:off x="149860" y="2762250"/>
          <a:ext cx="4322445" cy="28321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ru-RU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ru-RU" altLang="en-US" sz="1100"/>
            <a:t>Вычислить суммы конечного продукта и прибыли по отраслям. </a:t>
          </a:r>
          <a:endParaRPr lang="ru-RU" altLang="en-US" sz="1100"/>
        </a:p>
      </xdr:txBody>
    </xdr:sp>
    <xdr:clientData/>
  </xdr:oneCellAnchor>
  <xdr:oneCellAnchor>
    <xdr:from>
      <xdr:col>2</xdr:col>
      <xdr:colOff>909320</xdr:colOff>
      <xdr:row>19</xdr:row>
      <xdr:rowOff>144780</xdr:rowOff>
    </xdr:from>
    <xdr:ext cx="2451100" cy="475615"/>
    <xdr:sp>
      <xdr:nvSpPr>
        <xdr:cNvPr id="5" name="Текстовое поле 4"/>
        <xdr:cNvSpPr txBox="1"/>
      </xdr:nvSpPr>
      <xdr:spPr>
        <a:xfrm>
          <a:off x="4128770" y="4081145"/>
          <a:ext cx="2451100" cy="47561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ru-RU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ru-RU" altLang="en-US" sz="1100"/>
            <a:t>Проверить наличие решения МОБ.</a:t>
          </a:r>
          <a:endParaRPr lang="ru-RU" altLang="en-US" sz="1100"/>
        </a:p>
        <a:p>
          <a:pPr algn="l"/>
          <a:endParaRPr lang="ru-RU" altLang="en-US" sz="1100"/>
        </a:p>
      </xdr:txBody>
    </xdr:sp>
    <xdr:clientData/>
  </xdr:oneCellAnchor>
  <xdr:oneCellAnchor>
    <xdr:from>
      <xdr:col>5</xdr:col>
      <xdr:colOff>115570</xdr:colOff>
      <xdr:row>28</xdr:row>
      <xdr:rowOff>137795</xdr:rowOff>
    </xdr:from>
    <xdr:ext cx="1809750" cy="271145"/>
    <xdr:sp>
      <xdr:nvSpPr>
        <xdr:cNvPr id="6" name="Текстовое поле 5"/>
        <xdr:cNvSpPr txBox="1"/>
      </xdr:nvSpPr>
      <xdr:spPr>
        <a:xfrm>
          <a:off x="8383270" y="5788660"/>
          <a:ext cx="1809750" cy="27114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ru-RU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ru-RU" altLang="en-US" sz="1100"/>
            <a:t>&lt;1 - МОБ имеет решение</a:t>
          </a:r>
          <a:endParaRPr lang="ru-RU" altLang="en-US" sz="1100"/>
        </a:p>
      </xdr:txBody>
    </xdr:sp>
    <xdr:clientData/>
  </xdr:oneCellAnchor>
  <xdr:oneCellAnchor>
    <xdr:from>
      <xdr:col>0</xdr:col>
      <xdr:colOff>669925</xdr:colOff>
      <xdr:row>57</xdr:row>
      <xdr:rowOff>34290</xdr:rowOff>
    </xdr:from>
    <xdr:ext cx="8548370" cy="273685"/>
    <xdr:sp>
      <xdr:nvSpPr>
        <xdr:cNvPr id="7" name="Текстовое поле 6"/>
        <xdr:cNvSpPr txBox="1"/>
      </xdr:nvSpPr>
      <xdr:spPr>
        <a:xfrm>
          <a:off x="669925" y="11336020"/>
          <a:ext cx="854837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ru-RU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ru-RU" altLang="en-US" sz="1100"/>
            <a:t>  Рассчитать по отраслям индексы соотношений конечного и валового продуктов, объяснить динамику полученных показателей.</a:t>
          </a:r>
          <a:endParaRPr lang="ru-RU" altLang="en-US" sz="1100"/>
        </a:p>
      </xdr:txBody>
    </xdr:sp>
    <xdr:clientData/>
  </xdr:oneCellAnchor>
  <xdr:oneCellAnchor>
    <xdr:from>
      <xdr:col>1</xdr:col>
      <xdr:colOff>1068705</xdr:colOff>
      <xdr:row>72</xdr:row>
      <xdr:rowOff>186055</xdr:rowOff>
    </xdr:from>
    <xdr:ext cx="4710430" cy="270510"/>
    <xdr:sp>
      <xdr:nvSpPr>
        <xdr:cNvPr id="8" name="Текстовое поле 7"/>
        <xdr:cNvSpPr txBox="1"/>
      </xdr:nvSpPr>
      <xdr:spPr>
        <a:xfrm>
          <a:off x="1754505" y="15983585"/>
          <a:ext cx="4710430" cy="27051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ru-RU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ru-RU" altLang="en-US" sz="1100"/>
            <a:t>- коэффициента прямых затрат труда на единицу продукции j отрасли</a:t>
          </a:r>
          <a:endParaRPr lang="ru-RU" altLang="en-US" sz="1100"/>
        </a:p>
      </xdr:txBody>
    </xdr:sp>
    <xdr:clientData/>
  </xdr:oneCellAnchor>
  <xdr:oneCellAnchor>
    <xdr:from>
      <xdr:col>1</xdr:col>
      <xdr:colOff>309880</xdr:colOff>
      <xdr:row>109</xdr:row>
      <xdr:rowOff>144145</xdr:rowOff>
    </xdr:from>
    <xdr:ext cx="11055350" cy="273685"/>
    <xdr:sp>
      <xdr:nvSpPr>
        <xdr:cNvPr id="9" name="Текстовое поле 8"/>
        <xdr:cNvSpPr txBox="1"/>
      </xdr:nvSpPr>
      <xdr:spPr>
        <a:xfrm>
          <a:off x="995680" y="24820245"/>
          <a:ext cx="1105535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ru-RU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ru-RU" altLang="en-US" sz="1100"/>
            <a:t>Найти сбалансированные индексы цен на продукцию отраслей, объяснить их значения, если плановая норма чистого дохода составит: z1 и z4 = 0,4 , z2 = 0,3, а z3  = 0,2</a:t>
          </a:r>
          <a:endParaRPr lang="ru-RU" altLang="en-US" sz="1100"/>
        </a:p>
      </xdr:txBody>
    </xdr:sp>
    <xdr:clientData/>
  </xdr:oneCellAnchor>
  <xdr:oneCellAnchor>
    <xdr:from>
      <xdr:col>1</xdr:col>
      <xdr:colOff>206375</xdr:colOff>
      <xdr:row>124</xdr:row>
      <xdr:rowOff>86360</xdr:rowOff>
    </xdr:from>
    <xdr:ext cx="9947275" cy="272415"/>
    <xdr:sp>
      <xdr:nvSpPr>
        <xdr:cNvPr id="10" name="Текстовое поле 9"/>
        <xdr:cNvSpPr txBox="1"/>
      </xdr:nvSpPr>
      <xdr:spPr>
        <a:xfrm>
          <a:off x="892175" y="27619960"/>
          <a:ext cx="9947275" cy="272415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ru-RU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ru-RU" altLang="en-US" sz="1100"/>
            <a:t>Промышленности ,</a:t>
          </a:r>
          <a:r>
            <a:rPr lang="ru-RU" altLang="en-US">
              <a:sym typeface="+mn-ea"/>
            </a:rPr>
            <a:t> </a:t>
          </a:r>
          <a:r>
            <a:rPr lang="ru-RU" altLang="en-US" sz="1100"/>
            <a:t>сельское хозяйство - цена должна вырасти, чтобы покрыть всё и обеспечить заданную рентабельность. Транспорт должен упасть  </a:t>
          </a:r>
          <a:endParaRPr lang="ru-RU" altLang="en-US" sz="1100"/>
        </a:p>
      </xdr:txBody>
    </xdr:sp>
    <xdr:clientData/>
  </xdr:oneCellAnchor>
  <xdr:oneCellAnchor>
    <xdr:from>
      <xdr:col>1</xdr:col>
      <xdr:colOff>1257300</xdr:colOff>
      <xdr:row>139</xdr:row>
      <xdr:rowOff>88900</xdr:rowOff>
    </xdr:from>
    <xdr:ext cx="6821805" cy="284480"/>
    <xdr:sp>
      <xdr:nvSpPr>
        <xdr:cNvPr id="11" name="Текстовое поле 10"/>
        <xdr:cNvSpPr txBox="1"/>
      </xdr:nvSpPr>
      <xdr:spPr>
        <a:xfrm>
          <a:off x="1943100" y="30480000"/>
          <a:ext cx="6821805" cy="2844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ru-RU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ru-RU" altLang="en-US" sz="1100"/>
            <a:t>Завершить работу по МОБ, представив его как заполненную плановую таблицу по I, II и III квадрантам</a:t>
          </a:r>
          <a:endParaRPr lang="ru-RU" altLang="en-US" sz="1100"/>
        </a:p>
      </xdr:txBody>
    </xdr:sp>
    <xdr:clientData/>
  </xdr:oneCellAnchor>
  <xdr:oneCellAnchor>
    <xdr:from>
      <xdr:col>5</xdr:col>
      <xdr:colOff>374015</xdr:colOff>
      <xdr:row>25</xdr:row>
      <xdr:rowOff>54610</xdr:rowOff>
    </xdr:from>
    <xdr:ext cx="3881755" cy="457200"/>
    <xdr:sp>
      <xdr:nvSpPr>
        <xdr:cNvPr id="12" name="Текстовое поле 11"/>
        <xdr:cNvSpPr txBox="1"/>
      </xdr:nvSpPr>
      <xdr:spPr>
        <a:xfrm>
          <a:off x="8641715" y="5133975"/>
          <a:ext cx="3881755" cy="4572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ru-RU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ru-RU" altLang="en-US" sz="1100"/>
            <a:t>коэффициент показывает, сколько продукции отрасли 𝑖</a:t>
          </a:r>
          <a:endParaRPr lang="ru-RU" altLang="en-US" sz="1100"/>
        </a:p>
        <a:p>
          <a:pPr algn="l"/>
          <a:r>
            <a:rPr lang="ru-RU" altLang="en-US" sz="1100"/>
            <a:t> нужно для выпуска единицы продукции отрасли </a:t>
          </a:r>
          <a:endParaRPr lang="ru-RU" altLang="en-US" sz="1100"/>
        </a:p>
      </xdr:txBody>
    </xdr:sp>
    <xdr:clientData/>
  </xdr:oneCellAnchor>
  <xdr:oneCellAnchor>
    <xdr:from>
      <xdr:col>2</xdr:col>
      <xdr:colOff>413385</xdr:colOff>
      <xdr:row>62</xdr:row>
      <xdr:rowOff>111760</xdr:rowOff>
    </xdr:from>
    <xdr:ext cx="6265545" cy="273685"/>
    <xdr:sp>
      <xdr:nvSpPr>
        <xdr:cNvPr id="13" name="Текстовое поле 12"/>
        <xdr:cNvSpPr txBox="1"/>
      </xdr:nvSpPr>
      <xdr:spPr>
        <a:xfrm>
          <a:off x="3632835" y="12365990"/>
          <a:ext cx="626554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ru-RU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ru-RU" altLang="en-US" sz="1100"/>
            <a:t>показывает, сколько валового продукта нужно, чтобы получить единицу конечного продукта.</a:t>
          </a:r>
          <a:endParaRPr lang="ru-RU" altLang="en-US" sz="1100"/>
        </a:p>
      </xdr:txBody>
    </xdr:sp>
    <xdr:clientData/>
  </xdr:oneCellAnchor>
  <xdr:oneCellAnchor>
    <xdr:from>
      <xdr:col>5</xdr:col>
      <xdr:colOff>416560</xdr:colOff>
      <xdr:row>65</xdr:row>
      <xdr:rowOff>137795</xdr:rowOff>
    </xdr:from>
    <xdr:ext cx="3181350" cy="457200"/>
    <xdr:sp>
      <xdr:nvSpPr>
        <xdr:cNvPr id="14" name="Текстовое поле 13"/>
        <xdr:cNvSpPr txBox="1"/>
      </xdr:nvSpPr>
      <xdr:spPr>
        <a:xfrm>
          <a:off x="8684260" y="12963525"/>
          <a:ext cx="3181350" cy="4572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ru-RU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ru-RU" altLang="en-US" sz="1100"/>
            <a:t>Если </a:t>
          </a:r>
          <a:r>
            <a:rPr lang="en-US" altLang="ru-RU" sz="1100"/>
            <a:t>j</a:t>
          </a:r>
          <a:r>
            <a:rPr lang="ru-RU" altLang="en-US" sz="1100"/>
            <a:t>𝛽&gt;1</a:t>
          </a:r>
          <a:r>
            <a:rPr lang="en-US" altLang="ru-RU" sz="1100"/>
            <a:t>, </a:t>
          </a:r>
          <a:r>
            <a:rPr lang="ru-RU" altLang="en-US" sz="1100"/>
            <a:t>это означает:</a:t>
          </a:r>
          <a:endParaRPr lang="ru-RU" altLang="en-US" sz="1100"/>
        </a:p>
        <a:p>
          <a:pPr algn="l"/>
          <a:r>
            <a:rPr lang="ru-RU" altLang="en-US" sz="1100"/>
            <a:t>на единицу конечного продукта теперь нужно</a:t>
          </a:r>
          <a:endParaRPr lang="ru-RU" altLang="en-US" sz="1100"/>
        </a:p>
        <a:p>
          <a:pPr algn="l"/>
          <a:r>
            <a:rPr lang="ru-RU" altLang="en-US" sz="1100"/>
            <a:t> больше валового выпуска.</a:t>
          </a:r>
          <a:endParaRPr lang="ru-RU" altLang="en-US" sz="1100"/>
        </a:p>
      </xdr:txBody>
    </xdr:sp>
    <xdr:clientData/>
  </xdr:oneCellAnchor>
  <xdr:oneCellAnchor>
    <xdr:from>
      <xdr:col>5</xdr:col>
      <xdr:colOff>800100</xdr:colOff>
      <xdr:row>31</xdr:row>
      <xdr:rowOff>57150</xdr:rowOff>
    </xdr:from>
    <xdr:ext cx="5708015" cy="1372870"/>
    <xdr:sp>
      <xdr:nvSpPr>
        <xdr:cNvPr id="15" name="Текстовое поле 14"/>
        <xdr:cNvSpPr txBox="1"/>
      </xdr:nvSpPr>
      <xdr:spPr>
        <a:xfrm>
          <a:off x="9067800" y="6279515"/>
          <a:ext cx="5708015" cy="137287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>
              <a:solidFill>
                <a:srgbClr val="00B050"/>
              </a:solidFill>
            </a:rPr>
            <a:t>Когда все элементы матрицы прямых материальных затрат </a:t>
          </a:r>
          <a:endParaRPr lang="ru-RU" altLang="en-US" sz="1100">
            <a:solidFill>
              <a:srgbClr val="00B050"/>
            </a:solidFill>
          </a:endParaRPr>
        </a:p>
        <a:p>
          <a:pPr algn="l"/>
          <a:r>
            <a:rPr lang="ru-RU" altLang="en-US" sz="1100">
              <a:solidFill>
                <a:srgbClr val="00B050"/>
              </a:solidFill>
            </a:rPr>
            <a:t>aij меньше 1, это предотвращает возможные проблемы с устойчивостью модели, </a:t>
          </a:r>
          <a:endParaRPr lang="ru-RU" altLang="en-US" sz="1100">
            <a:solidFill>
              <a:srgbClr val="00B050"/>
            </a:solidFill>
          </a:endParaRPr>
        </a:p>
        <a:p>
          <a:pPr algn="l"/>
          <a:r>
            <a:rPr lang="ru-RU" altLang="en-US" sz="1100">
              <a:solidFill>
                <a:srgbClr val="00B050"/>
              </a:solidFill>
            </a:rPr>
            <a:t>такие как чрезмерное потребление ресурсов одной отраслью, </a:t>
          </a:r>
          <a:endParaRPr lang="ru-RU" altLang="en-US" sz="1100">
            <a:solidFill>
              <a:srgbClr val="00B050"/>
            </a:solidFill>
          </a:endParaRPr>
        </a:p>
        <a:p>
          <a:pPr algn="l"/>
          <a:r>
            <a:rPr lang="ru-RU" altLang="en-US" sz="1100">
              <a:solidFill>
                <a:srgbClr val="00B050"/>
              </a:solidFill>
            </a:rPr>
            <a:t>и гарантирует, что система уравнений МОБ будет иметь решение. </a:t>
          </a:r>
          <a:endParaRPr lang="ru-RU" altLang="en-US" sz="1100">
            <a:solidFill>
              <a:srgbClr val="00B050"/>
            </a:solidFill>
          </a:endParaRPr>
        </a:p>
        <a:p>
          <a:pPr algn="l"/>
          <a:r>
            <a:rPr lang="ru-RU" altLang="en-US" sz="1100">
              <a:solidFill>
                <a:srgbClr val="00B050"/>
              </a:solidFill>
            </a:rPr>
            <a:t>В таком случае модель остаётся сбалансированной, </a:t>
          </a:r>
          <a:endParaRPr lang="ru-RU" altLang="en-US" sz="1100">
            <a:solidFill>
              <a:srgbClr val="00B050"/>
            </a:solidFill>
          </a:endParaRPr>
        </a:p>
        <a:p>
          <a:pPr algn="l"/>
          <a:r>
            <a:rPr lang="ru-RU" altLang="en-US" sz="1100">
              <a:solidFill>
                <a:srgbClr val="00B050"/>
              </a:solidFill>
            </a:rPr>
            <a:t>и существует возможность вычисления валового и конечного продукта для каждой отрасли,</a:t>
          </a:r>
          <a:endParaRPr lang="ru-RU" altLang="en-US" sz="1100">
            <a:solidFill>
              <a:srgbClr val="00B050"/>
            </a:solidFill>
          </a:endParaRPr>
        </a:p>
        <a:p>
          <a:pPr algn="l"/>
          <a:r>
            <a:rPr lang="ru-RU" altLang="en-US" sz="1100">
              <a:solidFill>
                <a:srgbClr val="00B050"/>
              </a:solidFill>
            </a:rPr>
            <a:t> а сама система уравнений будет иметь корректное решение.</a:t>
          </a:r>
          <a:endParaRPr lang="ru-RU" altLang="en-US" sz="1100">
            <a:solidFill>
              <a:srgbClr val="00B050"/>
            </a:solidFill>
          </a:endParaRPr>
        </a:p>
      </xdr:txBody>
    </xdr:sp>
    <xdr:clientData/>
  </xdr:oneCellAnchor>
  <xdr:oneCellAnchor>
    <xdr:from>
      <xdr:col>1</xdr:col>
      <xdr:colOff>57150</xdr:colOff>
      <xdr:row>121</xdr:row>
      <xdr:rowOff>152400</xdr:rowOff>
    </xdr:from>
    <xdr:ext cx="10193020" cy="273685"/>
    <xdr:sp>
      <xdr:nvSpPr>
        <xdr:cNvPr id="16" name="Текстовое поле 15"/>
        <xdr:cNvSpPr txBox="1"/>
      </xdr:nvSpPr>
      <xdr:spPr>
        <a:xfrm>
          <a:off x="742950" y="27114500"/>
          <a:ext cx="10193020" cy="27368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ru-RU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ru-RU" altLang="en-US" sz="1100">
              <a:solidFill>
                <a:srgbClr val="00B050"/>
              </a:solidFill>
            </a:rPr>
            <a:t>Промышленности ,</a:t>
          </a:r>
          <a:r>
            <a:rPr lang="ru-RU" altLang="en-US">
              <a:solidFill>
                <a:srgbClr val="00B050"/>
              </a:solidFill>
              <a:sym typeface="+mn-ea"/>
            </a:rPr>
            <a:t> </a:t>
          </a:r>
          <a:r>
            <a:rPr lang="ru-RU" altLang="en-US" sz="1100">
              <a:solidFill>
                <a:srgbClr val="00B050"/>
              </a:solidFill>
            </a:rPr>
            <a:t>сельское хозяйство, т</a:t>
          </a:r>
          <a:r>
            <a:rPr lang="ru-RU" altLang="en-US">
              <a:solidFill>
                <a:srgbClr val="00B050"/>
              </a:solidFill>
              <a:sym typeface="+mn-ea"/>
            </a:rPr>
            <a:t>ранспорт</a:t>
          </a:r>
          <a:r>
            <a:rPr lang="ru-RU" altLang="en-US" sz="1100">
              <a:solidFill>
                <a:srgbClr val="00B050"/>
              </a:solidFill>
            </a:rPr>
            <a:t> - цена должна вырасти, чтобы покрыть всё и обеспечить заданную рентабельность. Прочие отрасли должны упасть  </a:t>
          </a:r>
          <a:endParaRPr lang="ru-RU" altLang="en-US" sz="1100">
            <a:solidFill>
              <a:srgbClr val="00B050"/>
            </a:solidFill>
          </a:endParaRPr>
        </a:p>
      </xdr:txBody>
    </xdr:sp>
    <xdr:clientData/>
  </xdr:oneCellAnchor>
  <xdr:oneCellAnchor>
    <xdr:from>
      <xdr:col>6</xdr:col>
      <xdr:colOff>781050</xdr:colOff>
      <xdr:row>94</xdr:row>
      <xdr:rowOff>95250</xdr:rowOff>
    </xdr:from>
    <xdr:ext cx="1035685" cy="273685"/>
    <xdr:sp>
      <xdr:nvSpPr>
        <xdr:cNvPr id="17" name="Текстовое поле 16"/>
        <xdr:cNvSpPr txBox="1"/>
      </xdr:nvSpPr>
      <xdr:spPr>
        <a:xfrm>
          <a:off x="11087100" y="20274280"/>
          <a:ext cx="103568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>
              <a:solidFill>
                <a:srgbClr val="00B050"/>
              </a:solidFill>
            </a:rPr>
            <a:t>Убрал лишнее</a:t>
          </a:r>
          <a:endParaRPr lang="ru-RU" altLang="en-US" sz="1100">
            <a:solidFill>
              <a:srgbClr val="00B050"/>
            </a:solidFill>
          </a:endParaRPr>
        </a:p>
      </xdr:txBody>
    </xdr:sp>
    <xdr:clientData/>
  </xdr:oneCellAnchor>
  <xdr:oneCellAnchor>
    <xdr:from>
      <xdr:col>1</xdr:col>
      <xdr:colOff>171450</xdr:colOff>
      <xdr:row>17</xdr:row>
      <xdr:rowOff>180975</xdr:rowOff>
    </xdr:from>
    <xdr:ext cx="2896235" cy="273685"/>
    <xdr:sp>
      <xdr:nvSpPr>
        <xdr:cNvPr id="18" name="Текстовое поле 17"/>
        <xdr:cNvSpPr txBox="1"/>
      </xdr:nvSpPr>
      <xdr:spPr>
        <a:xfrm>
          <a:off x="857250" y="3736340"/>
          <a:ext cx="2896235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ru-RU" altLang="en-US" sz="1100">
              <a:solidFill>
                <a:srgbClr val="00B050"/>
              </a:solidFill>
            </a:rPr>
            <a:t>Исправил, то что добавил пометил зеленным</a:t>
          </a:r>
          <a:endParaRPr lang="ru-RU" altLang="en-US" sz="1100">
            <a:solidFill>
              <a:srgbClr val="00B05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T187"/>
  <sheetViews>
    <sheetView tabSelected="1" topLeftCell="A69" workbookViewId="0">
      <selection activeCell="G86" sqref="G86"/>
    </sheetView>
  </sheetViews>
  <sheetFormatPr defaultColWidth="10.2857142857143" defaultRowHeight="15"/>
  <cols>
    <col min="1" max="1" width="10.2857142857143" style="1"/>
    <col min="2" max="2" width="38" style="1" customWidth="1"/>
    <col min="3" max="3" width="20" style="1" customWidth="1"/>
    <col min="4" max="4" width="17.8571428571429" style="1" customWidth="1"/>
    <col min="5" max="5" width="37.8571428571429" style="1" customWidth="1"/>
    <col min="6" max="6" width="30.5714285714286" style="1" customWidth="1"/>
    <col min="7" max="7" width="28.2857142857143" style="1" customWidth="1"/>
    <col min="8" max="8" width="18.5714285714286" style="1" customWidth="1"/>
    <col min="9" max="9" width="12.7142857142857" style="1" customWidth="1"/>
    <col min="10" max="10" width="12.4285714285714" style="1" customWidth="1"/>
    <col min="11" max="22" width="14.4285714285714" style="1"/>
    <col min="23" max="23" width="11.8571428571429" style="1"/>
    <col min="24" max="24" width="14.4285714285714" style="1"/>
    <col min="25" max="26" width="10.2857142857143" style="1"/>
    <col min="27" max="28" width="14.4285714285714" style="1"/>
    <col min="29" max="16384" width="10.2857142857143" style="1"/>
  </cols>
  <sheetData>
    <row r="2" s="1" customFormat="1" spans="2:3">
      <c r="B2" s="2"/>
      <c r="C2" s="3" t="s">
        <v>0</v>
      </c>
    </row>
    <row r="4" s="1" customFormat="1" ht="39.95" customHeight="1" spans="2:8">
      <c r="B4" s="4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</row>
    <row r="5" s="1" customFormat="1" spans="2:8">
      <c r="B5" s="4" t="s">
        <v>2</v>
      </c>
      <c r="C5" s="4">
        <v>888.43</v>
      </c>
      <c r="D5" s="4">
        <v>1098.54</v>
      </c>
      <c r="E5" s="4">
        <v>670.3</v>
      </c>
      <c r="F5" s="4">
        <v>474.142</v>
      </c>
      <c r="G5" s="6">
        <f t="shared" ref="G5:G8" si="0">H5-F5-E5-C5-D5</f>
        <v>2754.708</v>
      </c>
      <c r="H5" s="4">
        <v>5886.12</v>
      </c>
    </row>
    <row r="6" s="1" customFormat="1" spans="2:8">
      <c r="B6" s="4" t="s">
        <v>3</v>
      </c>
      <c r="C6" s="4">
        <v>1064.006</v>
      </c>
      <c r="D6" s="4">
        <v>1251.038</v>
      </c>
      <c r="E6" s="4">
        <v>664.096</v>
      </c>
      <c r="F6" s="4">
        <v>1614.72</v>
      </c>
      <c r="G6" s="6">
        <f t="shared" si="0"/>
        <v>2719.54</v>
      </c>
      <c r="H6" s="4">
        <v>7313.4</v>
      </c>
    </row>
    <row r="7" s="1" customFormat="1" spans="2:8">
      <c r="B7" s="4" t="s">
        <v>4</v>
      </c>
      <c r="C7" s="4">
        <v>446.834</v>
      </c>
      <c r="D7" s="4">
        <v>188.235</v>
      </c>
      <c r="E7" s="4">
        <v>1046.584</v>
      </c>
      <c r="F7" s="4">
        <v>1000.61</v>
      </c>
      <c r="G7" s="6">
        <f t="shared" si="0"/>
        <v>2300.537</v>
      </c>
      <c r="H7" s="4">
        <v>4982.8</v>
      </c>
    </row>
    <row r="8" s="1" customFormat="1" spans="2:8">
      <c r="B8" s="4" t="s">
        <v>5</v>
      </c>
      <c r="C8" s="4">
        <v>717.32</v>
      </c>
      <c r="D8" s="4">
        <v>989.254</v>
      </c>
      <c r="E8" s="4">
        <v>757.73</v>
      </c>
      <c r="F8" s="4">
        <v>393.541</v>
      </c>
      <c r="G8" s="6">
        <f t="shared" si="0"/>
        <v>2148.355</v>
      </c>
      <c r="H8" s="4">
        <v>5006.2</v>
      </c>
    </row>
    <row r="9" s="1" customFormat="1" spans="2:8">
      <c r="B9" s="4" t="s">
        <v>8</v>
      </c>
      <c r="C9" s="4">
        <v>1001.423</v>
      </c>
      <c r="D9" s="4">
        <v>1470.213</v>
      </c>
      <c r="E9" s="4">
        <v>1050.223</v>
      </c>
      <c r="F9" s="4">
        <v>964.213</v>
      </c>
      <c r="G9" s="7"/>
      <c r="H9" s="6"/>
    </row>
    <row r="10" s="1" customFormat="1" spans="2:8">
      <c r="B10" s="4" t="s">
        <v>9</v>
      </c>
      <c r="C10" s="4">
        <v>472.8</v>
      </c>
      <c r="D10" s="4">
        <v>980.35</v>
      </c>
      <c r="E10" s="4">
        <v>232.68</v>
      </c>
      <c r="F10" s="4">
        <v>381.55</v>
      </c>
      <c r="G10" s="7"/>
      <c r="H10" s="6"/>
    </row>
    <row r="11" s="1" customFormat="1" spans="2:8">
      <c r="B11" s="4" t="s">
        <v>10</v>
      </c>
      <c r="C11" s="6">
        <f t="shared" ref="C11:F11" si="1">C12-C13-C9-C10</f>
        <v>1295.307</v>
      </c>
      <c r="D11" s="6">
        <f t="shared" si="1"/>
        <v>1335.77</v>
      </c>
      <c r="E11" s="6">
        <f t="shared" si="1"/>
        <v>561.187</v>
      </c>
      <c r="F11" s="6">
        <f t="shared" si="1"/>
        <v>177.423999999999</v>
      </c>
      <c r="G11" s="7"/>
      <c r="H11" s="6"/>
    </row>
    <row r="12" s="1" customFormat="1" spans="2:8">
      <c r="B12" s="4" t="s">
        <v>7</v>
      </c>
      <c r="C12" s="6">
        <f>H5</f>
        <v>5886.12</v>
      </c>
      <c r="D12" s="6">
        <f>H6</f>
        <v>7313.4</v>
      </c>
      <c r="E12" s="6">
        <f>H7</f>
        <v>4982.8</v>
      </c>
      <c r="F12" s="6">
        <f>H8</f>
        <v>5006.2</v>
      </c>
      <c r="G12" s="7"/>
      <c r="H12" s="6"/>
    </row>
    <row r="13" s="1" customFormat="1" spans="2:8">
      <c r="B13" s="4" t="s">
        <v>11</v>
      </c>
      <c r="C13" s="8">
        <f t="shared" ref="C13:F13" si="2">SUM(C5:C8)</f>
        <v>3116.59</v>
      </c>
      <c r="D13" s="8">
        <f t="shared" si="2"/>
        <v>3527.067</v>
      </c>
      <c r="E13" s="8">
        <f t="shared" si="2"/>
        <v>3138.71</v>
      </c>
      <c r="F13" s="8">
        <f t="shared" si="2"/>
        <v>3483.013</v>
      </c>
      <c r="G13" s="4"/>
      <c r="H13" s="4"/>
    </row>
    <row r="14" s="1" customFormat="1" spans="1:4">
      <c r="A14" s="9"/>
      <c r="B14" s="10"/>
      <c r="C14" s="10"/>
      <c r="D14" s="11"/>
    </row>
    <row r="15" s="1" customFormat="1" spans="1:2">
      <c r="A15" s="2"/>
      <c r="B15" s="1" t="s">
        <v>12</v>
      </c>
    </row>
    <row r="16" s="1" customFormat="1" spans="1:1">
      <c r="A16" s="2"/>
    </row>
    <row r="17" s="1" customFormat="1" spans="1:5">
      <c r="A17" s="2" t="s">
        <v>13</v>
      </c>
      <c r="B17" s="12" t="s">
        <v>14</v>
      </c>
      <c r="C17" s="12"/>
      <c r="D17" s="12"/>
      <c r="E17" s="12"/>
    </row>
    <row r="18" s="1" customFormat="1" spans="1:1">
      <c r="A18" s="9"/>
    </row>
    <row r="19" s="1" customFormat="1" spans="1:4">
      <c r="A19" s="9"/>
      <c r="B19" s="10"/>
      <c r="C19" s="10"/>
      <c r="D19" s="11"/>
    </row>
    <row r="20" s="1" customFormat="1" spans="1:4">
      <c r="A20" s="2"/>
      <c r="D20" s="11"/>
    </row>
    <row r="21" s="1" customFormat="1" spans="1:3">
      <c r="A21" s="9"/>
      <c r="B21" s="10"/>
      <c r="C21" s="10"/>
    </row>
    <row r="25" s="1" customFormat="1" spans="2:2">
      <c r="B25" s="11" t="s">
        <v>15</v>
      </c>
    </row>
    <row r="26" s="1" customFormat="1" spans="2:5">
      <c r="B26" s="13">
        <f t="shared" ref="B26:B29" si="3">C5/$C$12</f>
        <v>0.15093644030363</v>
      </c>
      <c r="C26" s="13">
        <f t="shared" ref="C26:C29" si="4">D5/$D$12</f>
        <v>0.15020920502092</v>
      </c>
      <c r="D26" s="13">
        <f t="shared" ref="D26:D29" si="5">E5/$E$12</f>
        <v>0.134522758288512</v>
      </c>
      <c r="E26" s="13">
        <f t="shared" ref="E26:E29" si="6">F5/$F$12</f>
        <v>0.0947109584115697</v>
      </c>
    </row>
    <row r="27" s="1" customFormat="1" spans="2:5">
      <c r="B27" s="13">
        <f t="shared" si="3"/>
        <v>0.180765257928822</v>
      </c>
      <c r="C27" s="13">
        <f t="shared" si="4"/>
        <v>0.17106106598846</v>
      </c>
      <c r="D27" s="13">
        <f t="shared" si="5"/>
        <v>0.133277675202697</v>
      </c>
      <c r="E27" s="13">
        <f t="shared" si="6"/>
        <v>0.322544045383724</v>
      </c>
    </row>
    <row r="28" s="1" customFormat="1" spans="2:5">
      <c r="B28" s="13">
        <f t="shared" si="3"/>
        <v>0.0759131652090002</v>
      </c>
      <c r="C28" s="13">
        <f t="shared" si="4"/>
        <v>0.0257383706620724</v>
      </c>
      <c r="D28" s="13">
        <f t="shared" si="5"/>
        <v>0.210039335313478</v>
      </c>
      <c r="E28" s="13">
        <f t="shared" si="6"/>
        <v>0.199874156046502</v>
      </c>
    </row>
    <row r="29" s="1" customFormat="1" spans="2:5">
      <c r="B29" s="13">
        <f t="shared" si="3"/>
        <v>0.121866356785115</v>
      </c>
      <c r="C29" s="13">
        <f t="shared" si="4"/>
        <v>0.135265950173654</v>
      </c>
      <c r="D29" s="13">
        <f t="shared" si="5"/>
        <v>0.152069117765112</v>
      </c>
      <c r="E29" s="13">
        <f t="shared" si="6"/>
        <v>0.0786107227038472</v>
      </c>
    </row>
    <row r="30" s="1" customFormat="1" spans="2:5">
      <c r="B30" s="13">
        <f>SUM(B26:B29)</f>
        <v>0.529481220226567</v>
      </c>
      <c r="C30" s="13">
        <f>SUM(C26:C29)</f>
        <v>0.482274591845106</v>
      </c>
      <c r="D30" s="13">
        <f>SUM(D26:D29)</f>
        <v>0.6299088865698</v>
      </c>
      <c r="E30" s="13">
        <f>SUM(E26:E29)</f>
        <v>0.695739882545644</v>
      </c>
    </row>
    <row r="31" s="1" customFormat="1" spans="6:10">
      <c r="F31" s="12" t="s">
        <v>16</v>
      </c>
      <c r="G31" s="14"/>
      <c r="H31" s="14"/>
      <c r="I31" s="14"/>
      <c r="J31" s="14"/>
    </row>
    <row r="33" s="1" customFormat="1" spans="3:3">
      <c r="C33" s="14"/>
    </row>
    <row r="35" s="1" customFormat="1" ht="24.95" customHeight="1" spans="1:2">
      <c r="A35" s="2"/>
      <c r="B35" s="15"/>
    </row>
    <row r="36" s="1" customFormat="1" spans="1:2">
      <c r="A36" s="2"/>
      <c r="B36" s="2"/>
    </row>
    <row r="37" s="1" customFormat="1" spans="1:2">
      <c r="A37" s="2"/>
      <c r="B37" s="16" t="s">
        <v>17</v>
      </c>
    </row>
    <row r="39" s="1" customFormat="1" spans="2:4">
      <c r="B39" s="4" t="s">
        <v>18</v>
      </c>
      <c r="C39" s="4" t="s">
        <v>19</v>
      </c>
      <c r="D39" s="4" t="s">
        <v>20</v>
      </c>
    </row>
    <row r="40" s="1" customFormat="1" spans="2:4">
      <c r="B40" s="4" t="s">
        <v>2</v>
      </c>
      <c r="C40" s="17">
        <v>0.005</v>
      </c>
      <c r="D40" s="4">
        <f>G5*(1+0.005)</f>
        <v>2768.48154</v>
      </c>
    </row>
    <row r="41" s="1" customFormat="1" spans="2:4">
      <c r="B41" s="4" t="s">
        <v>3</v>
      </c>
      <c r="C41" s="17">
        <v>0.042</v>
      </c>
      <c r="D41" s="4">
        <f>G6*(1+0.042)</f>
        <v>2833.76068</v>
      </c>
    </row>
    <row r="42" s="1" customFormat="1" spans="2:4">
      <c r="B42" s="4" t="s">
        <v>4</v>
      </c>
      <c r="C42" s="17">
        <v>0.03</v>
      </c>
      <c r="D42" s="4">
        <f>G7*(1+0.03)</f>
        <v>2369.55311</v>
      </c>
    </row>
    <row r="43" s="1" customFormat="1" spans="2:4">
      <c r="B43" s="4" t="s">
        <v>5</v>
      </c>
      <c r="C43" s="17">
        <v>0.005</v>
      </c>
      <c r="D43" s="4">
        <f>G8*(1+0.005)</f>
        <v>2159.096775</v>
      </c>
    </row>
    <row r="48" s="1" customFormat="1" spans="2:10">
      <c r="B48" s="4">
        <v>1</v>
      </c>
      <c r="C48" s="4">
        <v>0</v>
      </c>
      <c r="D48" s="4">
        <v>0</v>
      </c>
      <c r="E48" s="18">
        <v>0</v>
      </c>
      <c r="G48" s="13">
        <f>1-B26</f>
        <v>0.84906355969637</v>
      </c>
      <c r="H48" s="13">
        <f t="shared" ref="H48:H51" si="7">-C26</f>
        <v>-0.15020920502092</v>
      </c>
      <c r="I48" s="13">
        <f t="shared" ref="I48:I51" si="8">-D26</f>
        <v>-0.134522758288512</v>
      </c>
      <c r="J48" s="13">
        <f t="shared" ref="J48:J50" si="9">-E26</f>
        <v>-0.0947109584115697</v>
      </c>
    </row>
    <row r="49" s="1" customFormat="1" spans="2:10">
      <c r="B49" s="4">
        <v>0</v>
      </c>
      <c r="C49" s="4">
        <v>1</v>
      </c>
      <c r="D49" s="4">
        <v>0</v>
      </c>
      <c r="E49" s="18">
        <v>0</v>
      </c>
      <c r="G49" s="13">
        <f t="shared" ref="G49:G51" si="10">-B27</f>
        <v>-0.180765257928822</v>
      </c>
      <c r="H49" s="13">
        <f>1-C27</f>
        <v>0.828938934011541</v>
      </c>
      <c r="I49" s="13">
        <f t="shared" si="8"/>
        <v>-0.133277675202697</v>
      </c>
      <c r="J49" s="13">
        <f t="shared" si="9"/>
        <v>-0.322544045383724</v>
      </c>
    </row>
    <row r="50" s="1" customFormat="1" spans="2:17">
      <c r="B50" s="4">
        <v>0</v>
      </c>
      <c r="C50" s="4">
        <v>0</v>
      </c>
      <c r="D50" s="4">
        <v>1</v>
      </c>
      <c r="E50" s="18">
        <v>0</v>
      </c>
      <c r="F50" s="35" t="s">
        <v>21</v>
      </c>
      <c r="G50" s="13">
        <f t="shared" si="10"/>
        <v>-0.0759131652090002</v>
      </c>
      <c r="H50" s="13">
        <f t="shared" si="7"/>
        <v>-0.0257383706620724</v>
      </c>
      <c r="I50" s="13">
        <f>1-D28</f>
        <v>0.789960664686522</v>
      </c>
      <c r="J50" s="13">
        <f t="shared" si="9"/>
        <v>-0.199874156046502</v>
      </c>
      <c r="Q50" s="14"/>
    </row>
    <row r="51" s="1" customFormat="1" spans="2:10">
      <c r="B51" s="4">
        <v>0</v>
      </c>
      <c r="C51" s="4">
        <v>0</v>
      </c>
      <c r="D51" s="4">
        <v>0</v>
      </c>
      <c r="E51" s="18">
        <v>1</v>
      </c>
      <c r="G51" s="13">
        <f t="shared" si="10"/>
        <v>-0.121866356785115</v>
      </c>
      <c r="H51" s="13">
        <f t="shared" si="7"/>
        <v>-0.135265950173654</v>
      </c>
      <c r="I51" s="13">
        <f t="shared" si="8"/>
        <v>-0.152069117765112</v>
      </c>
      <c r="J51" s="13">
        <f>1-E29</f>
        <v>0.921389277296153</v>
      </c>
    </row>
    <row r="53" s="1" customFormat="1" spans="2:5">
      <c r="B53" s="13" cm="1">
        <f t="array" ref="B53:E56">MINVERSE(G48:J51)</f>
        <v>1.31654156788878</v>
      </c>
      <c r="C53" s="13">
        <v>0.300054501413519</v>
      </c>
      <c r="D53" s="13">
        <v>0.33508178430917</v>
      </c>
      <c r="E53" s="13">
        <v>0.313055407044388</v>
      </c>
    </row>
    <row r="54" s="1" customFormat="1" spans="2:5">
      <c r="B54" s="13">
        <v>0.426228534997241</v>
      </c>
      <c r="C54" s="13">
        <v>1.39919870453274</v>
      </c>
      <c r="D54" s="13">
        <v>0.429297482953404</v>
      </c>
      <c r="E54" s="13">
        <v>0.626746164553194</v>
      </c>
    </row>
    <row r="55" s="1" customFormat="1" spans="2:5">
      <c r="B55" s="13">
        <v>0.209022359030866</v>
      </c>
      <c r="C55" s="13">
        <v>0.142382794327218</v>
      </c>
      <c r="D55" s="13">
        <v>1.39759529830791</v>
      </c>
      <c r="E55" s="13">
        <v>0.374504695979377</v>
      </c>
    </row>
    <row r="56" s="1" customFormat="1" spans="2:5">
      <c r="B56" s="13">
        <v>0.271201525892062</v>
      </c>
      <c r="C56" s="13">
        <v>0.268597131734725</v>
      </c>
      <c r="D56" s="13">
        <v>0.338006551517438</v>
      </c>
      <c r="E56" s="13">
        <v>1.28054337638184</v>
      </c>
    </row>
    <row r="58" s="1" customFormat="1" spans="4:7">
      <c r="D58" s="19"/>
      <c r="E58" s="19"/>
      <c r="F58" s="20"/>
      <c r="G58" s="19"/>
    </row>
    <row r="59" s="1" customFormat="1" spans="4:7">
      <c r="D59" s="19"/>
      <c r="F59" s="20"/>
      <c r="G59" s="19"/>
    </row>
    <row r="60" s="1" customFormat="1" spans="4:7">
      <c r="D60" s="19"/>
      <c r="E60" s="19"/>
      <c r="F60" s="21"/>
      <c r="G60" s="19"/>
    </row>
    <row r="61" s="1" customFormat="1" spans="4:7">
      <c r="D61" s="19"/>
      <c r="E61" s="19"/>
      <c r="F61" s="20"/>
      <c r="G61" s="19"/>
    </row>
    <row r="64" s="1" customFormat="1" spans="1:2">
      <c r="A64" s="2"/>
      <c r="B64" s="1" t="s">
        <v>22</v>
      </c>
    </row>
    <row r="65" s="1" customFormat="1" spans="1:2">
      <c r="A65" s="2"/>
      <c r="B65" s="2"/>
    </row>
    <row r="66" s="1" customFormat="1" spans="2:4">
      <c r="B66" s="4" t="s">
        <v>23</v>
      </c>
      <c r="C66" s="4" t="s">
        <v>24</v>
      </c>
      <c r="D66" s="4" t="s">
        <v>25</v>
      </c>
    </row>
    <row r="67" s="1" customFormat="1" ht="45" spans="2:5">
      <c r="B67" s="13">
        <f>H5/G5</f>
        <v>2.13674915816849</v>
      </c>
      <c r="C67" s="13">
        <f>H132/D40</f>
        <v>2.20248386239781</v>
      </c>
      <c r="D67" s="13">
        <f t="shared" ref="D67:D70" si="11">C67/B67</f>
        <v>1.03076388446347</v>
      </c>
      <c r="E67" s="22" t="s">
        <v>26</v>
      </c>
    </row>
    <row r="68" s="1" customFormat="1" ht="51" customHeight="1" spans="2:7">
      <c r="B68" s="13">
        <f t="shared" ref="B67:B70" si="12">H6/G6</f>
        <v>2.68920479198688</v>
      </c>
      <c r="C68" s="13">
        <f>H133/D41</f>
        <v>2.6537019758726</v>
      </c>
      <c r="D68" s="13">
        <f t="shared" si="11"/>
        <v>0.986798024375061</v>
      </c>
      <c r="E68" s="23" t="s">
        <v>27</v>
      </c>
      <c r="F68" s="12" t="s">
        <v>28</v>
      </c>
      <c r="G68" s="24" t="s">
        <v>27</v>
      </c>
    </row>
    <row r="69" s="1" customFormat="1" ht="45" spans="2:5">
      <c r="B69" s="13">
        <f t="shared" si="12"/>
        <v>2.1659290852527</v>
      </c>
      <c r="C69" s="13">
        <f t="shared" ref="C67:C70" si="13">H134/D42</f>
        <v>2.1701203772396</v>
      </c>
      <c r="D69" s="13">
        <f t="shared" si="11"/>
        <v>1.00193510120688</v>
      </c>
      <c r="E69" s="23" t="s">
        <v>26</v>
      </c>
    </row>
    <row r="70" s="1" customFormat="1" ht="45" spans="2:5">
      <c r="B70" s="13">
        <f t="shared" si="12"/>
        <v>2.33024802697878</v>
      </c>
      <c r="C70" s="13">
        <f t="shared" si="13"/>
        <v>2.40103309929086</v>
      </c>
      <c r="D70" s="13">
        <f t="shared" si="11"/>
        <v>1.03037662578943</v>
      </c>
      <c r="E70" s="22" t="s">
        <v>26</v>
      </c>
    </row>
    <row r="72" ht="18" customHeight="1"/>
    <row r="73" ht="18" customHeight="1"/>
    <row r="74" ht="18" customHeight="1"/>
    <row r="75" ht="24" customHeight="1"/>
    <row r="78" s="1" customFormat="1" spans="2:2">
      <c r="B78" s="1" t="s">
        <v>29</v>
      </c>
    </row>
    <row r="79" s="1" customFormat="1" spans="2:9">
      <c r="B79" s="4" t="s">
        <v>18</v>
      </c>
      <c r="C79" s="4" t="s">
        <v>2</v>
      </c>
      <c r="D79" s="4" t="s">
        <v>3</v>
      </c>
      <c r="E79" s="4" t="s">
        <v>4</v>
      </c>
      <c r="F79" s="4" t="s">
        <v>5</v>
      </c>
      <c r="G79" s="1"/>
      <c r="H79" s="13">
        <f>C80</f>
        <v>0.17013295685443</v>
      </c>
      <c r="I79"/>
    </row>
    <row r="80" s="1" customFormat="1" spans="2:9">
      <c r="B80" s="4" t="s">
        <v>30</v>
      </c>
      <c r="C80" s="13">
        <f>C9/C12</f>
        <v>0.17013295685443</v>
      </c>
      <c r="D80" s="13">
        <f t="shared" ref="C80:F80" si="14">D9/D12</f>
        <v>0.201030027073591</v>
      </c>
      <c r="E80" s="13">
        <f t="shared" si="14"/>
        <v>0.210769647587702</v>
      </c>
      <c r="F80" s="13">
        <f t="shared" si="14"/>
        <v>0.192603771323559</v>
      </c>
      <c r="H80" s="13">
        <f>D80</f>
        <v>0.201030027073591</v>
      </c>
      <c r="I80"/>
    </row>
    <row r="81" s="1" customFormat="1" spans="8:9">
      <c r="H81" s="13">
        <f>E80</f>
        <v>0.210769647587702</v>
      </c>
      <c r="I81"/>
    </row>
    <row r="82" s="1" customFormat="1" spans="2:9">
      <c r="B82" s="1" t="s">
        <v>31</v>
      </c>
      <c r="H82" s="13">
        <f>F80</f>
        <v>0.192603771323559</v>
      </c>
      <c r="I82"/>
    </row>
    <row r="83" s="1" customFormat="1" spans="2:6">
      <c r="B83" s="4" t="s">
        <v>18</v>
      </c>
      <c r="C83" s="4" t="s">
        <v>2</v>
      </c>
      <c r="D83" s="4" t="s">
        <v>3</v>
      </c>
      <c r="E83" s="4" t="s">
        <v>4</v>
      </c>
      <c r="F83" s="4" t="s">
        <v>5</v>
      </c>
    </row>
    <row r="84" s="1" customFormat="1" spans="2:6">
      <c r="B84" s="4" t="s">
        <v>32</v>
      </c>
      <c r="C84" s="4">
        <f t="shared" ref="C84:F84" si="15">C9*1.035</f>
        <v>1036.472805</v>
      </c>
      <c r="D84" s="4">
        <f t="shared" si="15"/>
        <v>1521.670455</v>
      </c>
      <c r="E84" s="4">
        <f t="shared" si="15"/>
        <v>1086.980805</v>
      </c>
      <c r="F84" s="4">
        <f t="shared" si="15"/>
        <v>997.960455</v>
      </c>
    </row>
    <row r="86" s="1" customFormat="1" spans="2:2">
      <c r="B86" s="1" t="s">
        <v>33</v>
      </c>
    </row>
    <row r="88" s="1" customFormat="1" spans="2:6">
      <c r="B88" s="4" t="s">
        <v>18</v>
      </c>
      <c r="C88" s="4" t="s">
        <v>2</v>
      </c>
      <c r="D88" s="4" t="s">
        <v>3</v>
      </c>
      <c r="E88" s="4" t="s">
        <v>4</v>
      </c>
      <c r="F88" s="4" t="s">
        <v>5</v>
      </c>
    </row>
    <row r="89" s="1" customFormat="1" spans="2:6">
      <c r="B89" s="4" t="s">
        <v>30</v>
      </c>
      <c r="C89" s="13">
        <f>C84/H132</f>
        <v>0.169982238631332</v>
      </c>
      <c r="D89" s="13">
        <f>D84/H133</f>
        <v>0.202350970022253</v>
      </c>
      <c r="E89" s="13">
        <f>E84/H134</f>
        <v>0.211383752262649</v>
      </c>
      <c r="F89" s="13">
        <f>F84/H135</f>
        <v>0.192505470977426</v>
      </c>
    </row>
    <row r="90" s="1" customFormat="1" spans="3:9">
      <c r="C90" s="25" t="s">
        <v>34</v>
      </c>
      <c r="G90" s="26"/>
      <c r="I90" s="26" t="s">
        <v>35</v>
      </c>
    </row>
    <row r="91" s="1" customFormat="1" spans="3:13">
      <c r="C91" s="1" t="s">
        <v>36</v>
      </c>
      <c r="G91" s="27" cm="1">
        <f t="array" ref="G91:G94">MMULT(_xlfn.ANCHORARRAY(B53),H79:H82)</f>
        <v>0.415227795931282</v>
      </c>
      <c r="H91" s="36" t="s">
        <v>21</v>
      </c>
      <c r="I91" s="4" cm="1">
        <f t="array" ref="I91:L91">MMULT(C80:F80,B53:E56)</f>
        <v>0.405961849323119</v>
      </c>
      <c r="J91" s="4">
        <v>0.414072904918213</v>
      </c>
      <c r="K91" s="4">
        <v>0.502982144422241</v>
      </c>
      <c r="L91" s="4">
        <v>0.504827546914185</v>
      </c>
      <c r="M91" s="20"/>
    </row>
    <row r="92" s="1" customFormat="1" spans="6:13">
      <c r="F92" s="35" t="s">
        <v>21</v>
      </c>
      <c r="G92" s="27">
        <v>0.56499302855626</v>
      </c>
      <c r="H92" s="12" t="s">
        <v>37</v>
      </c>
      <c r="M92" s="19"/>
    </row>
    <row r="93" s="1" customFormat="1" spans="3:13">
      <c r="C93" s="28"/>
      <c r="D93" s="28"/>
      <c r="E93" s="28"/>
      <c r="G93" s="27">
        <v>0.430886494307622</v>
      </c>
      <c r="M93" s="19"/>
    </row>
    <row r="94" s="1" customFormat="1" spans="3:13">
      <c r="C94" s="20"/>
      <c r="D94" s="20"/>
      <c r="E94" s="20"/>
      <c r="G94" s="27">
        <v>0.418015411548181</v>
      </c>
      <c r="M94" s="19"/>
    </row>
    <row r="95" s="1" customFormat="1" spans="3:13">
      <c r="C95" s="20"/>
      <c r="D95" s="20"/>
      <c r="E95" s="20"/>
      <c r="G95" s="12"/>
      <c r="M95" s="19"/>
    </row>
    <row r="96" s="1" customFormat="1" spans="3:13">
      <c r="C96" s="20"/>
      <c r="D96" s="20"/>
      <c r="E96" s="20"/>
      <c r="F96"/>
      <c r="G96"/>
      <c r="H96"/>
      <c r="I96"/>
      <c r="J96"/>
      <c r="K96"/>
      <c r="L96"/>
      <c r="M96" s="20"/>
    </row>
    <row r="97" s="1" customFormat="1" spans="3:13">
      <c r="C97" s="20"/>
      <c r="D97" s="20"/>
      <c r="E97" s="20"/>
      <c r="F97"/>
      <c r="G97"/>
      <c r="H97"/>
      <c r="I97"/>
      <c r="J97"/>
      <c r="K97"/>
      <c r="L97"/>
      <c r="M97" s="19"/>
    </row>
    <row r="98" s="1" customFormat="1" spans="3:13">
      <c r="C98" s="19"/>
      <c r="D98" s="19"/>
      <c r="E98" s="19"/>
      <c r="F98"/>
      <c r="G98"/>
      <c r="H98"/>
      <c r="I98"/>
      <c r="J98"/>
      <c r="K98"/>
      <c r="L98"/>
      <c r="M98" s="19"/>
    </row>
    <row r="99" s="1" customFormat="1" spans="6:13">
      <c r="F99"/>
      <c r="G99"/>
      <c r="H99"/>
      <c r="I99"/>
      <c r="J99"/>
      <c r="K99"/>
      <c r="L99"/>
      <c r="M99" s="19"/>
    </row>
    <row r="100" s="1" customFormat="1" spans="3:13">
      <c r="C100" s="1" t="s">
        <v>38</v>
      </c>
      <c r="H100" s="19"/>
      <c r="I100" s="19"/>
      <c r="J100" s="19"/>
      <c r="K100" s="19"/>
      <c r="L100" s="20"/>
      <c r="M100" s="19"/>
    </row>
    <row r="101" s="1" customFormat="1" spans="3:3">
      <c r="C101" s="1" t="s">
        <v>39</v>
      </c>
    </row>
    <row r="103" s="1" customFormat="1" spans="2:6">
      <c r="B103" s="4" t="s">
        <v>18</v>
      </c>
      <c r="C103" s="4" t="s">
        <v>2</v>
      </c>
      <c r="D103" s="4" t="s">
        <v>3</v>
      </c>
      <c r="E103" s="4" t="s">
        <v>4</v>
      </c>
      <c r="F103" s="4" t="s">
        <v>5</v>
      </c>
    </row>
    <row r="104" s="1" customFormat="1" spans="2:6">
      <c r="B104" s="4" t="s">
        <v>40</v>
      </c>
      <c r="C104" s="13">
        <f>C80/I91</f>
        <v>0.419086072097912</v>
      </c>
      <c r="D104" s="13">
        <f t="shared" ref="C104:F104" si="16">D80/J91</f>
        <v>0.485494280562256</v>
      </c>
      <c r="E104" s="13">
        <f t="shared" si="16"/>
        <v>0.419040019461935</v>
      </c>
      <c r="F104" s="13">
        <f t="shared" si="16"/>
        <v>0.381523893656103</v>
      </c>
    </row>
    <row r="105" s="1" customFormat="1" spans="2:6">
      <c r="B105" s="4" t="s">
        <v>41</v>
      </c>
      <c r="C105" s="13">
        <f>C89/I91</f>
        <v>0.418714810060974</v>
      </c>
      <c r="D105" s="13">
        <f>D89/J91</f>
        <v>0.488684402236416</v>
      </c>
      <c r="E105" s="13">
        <f>E89/K91</f>
        <v>0.420260946848239</v>
      </c>
      <c r="F105" s="13">
        <f>F89/L91</f>
        <v>0.381329173009947</v>
      </c>
    </row>
    <row r="106" s="1" customFormat="1" spans="2:6">
      <c r="B106" s="4" t="s">
        <v>42</v>
      </c>
      <c r="C106" s="29">
        <f>C105/C104</f>
        <v>0.999114115066914</v>
      </c>
      <c r="D106" s="29">
        <f t="shared" ref="C106:F106" si="17">D105/D104</f>
        <v>1.00657087385348</v>
      </c>
      <c r="E106" s="29">
        <f t="shared" si="17"/>
        <v>1.00291362955708</v>
      </c>
      <c r="F106" s="29">
        <f t="shared" si="17"/>
        <v>0.999489623980584</v>
      </c>
    </row>
    <row r="108" customFormat="1" ht="73" customHeight="1" spans="3:6">
      <c r="C108" s="37" t="s">
        <v>43</v>
      </c>
      <c r="D108" s="37" t="s">
        <v>44</v>
      </c>
      <c r="E108" s="37" t="s">
        <v>44</v>
      </c>
      <c r="F108" s="37" t="s">
        <v>43</v>
      </c>
    </row>
    <row r="109" s="1" customFormat="1" ht="86.1" customHeight="1" spans="3:6">
      <c r="C109" s="38" t="s">
        <v>44</v>
      </c>
      <c r="D109" s="38" t="s">
        <v>43</v>
      </c>
      <c r="E109" s="38" t="s">
        <v>43</v>
      </c>
      <c r="F109" s="38" t="s">
        <v>44</v>
      </c>
    </row>
    <row r="113" s="1" customFormat="1" spans="2:3">
      <c r="B113" s="1" t="s">
        <v>45</v>
      </c>
      <c r="C113" s="1" t="s">
        <v>46</v>
      </c>
    </row>
    <row r="114" s="1" customFormat="1" spans="2:2">
      <c r="B114" s="1" t="s">
        <v>47</v>
      </c>
    </row>
    <row r="115" s="1" customFormat="1" spans="5:6">
      <c r="E115" s="12"/>
      <c r="F115" s="12"/>
    </row>
    <row r="118" spans="3:3">
      <c r="C118" s="1" t="s">
        <v>48</v>
      </c>
    </row>
    <row r="119" s="1" customFormat="1" spans="1:1">
      <c r="A119" s="2"/>
    </row>
    <row r="120" s="1" customFormat="1" spans="1:6">
      <c r="A120" s="2"/>
      <c r="B120" s="4" t="s">
        <v>18</v>
      </c>
      <c r="C120" s="4" t="s">
        <v>2</v>
      </c>
      <c r="D120" s="4" t="s">
        <v>3</v>
      </c>
      <c r="E120" s="4" t="s">
        <v>4</v>
      </c>
      <c r="F120" s="4" t="s">
        <v>5</v>
      </c>
    </row>
    <row r="121" s="1" customFormat="1" spans="2:6">
      <c r="B121" s="4" t="s">
        <v>49</v>
      </c>
      <c r="C121" s="13">
        <f>B30+(C138/C139)+(C136/C139)*(1+0.4)</f>
        <v>0.975721334762067</v>
      </c>
      <c r="D121" s="13">
        <f>C30+(D137/D139)+(D136/D139)*(1+0.3)</f>
        <v>0.880260127381413</v>
      </c>
      <c r="E121" s="13">
        <f>D30+(E137/E139)+(E136/E139)*(1+0.2)</f>
        <v>0.930402082414413</v>
      </c>
      <c r="F121" s="13">
        <f>E30+(F137/F139)+(F136/F139)*(1+0.4)</f>
        <v>1.04142413614315</v>
      </c>
    </row>
    <row r="122" s="1" customFormat="1" spans="3:6">
      <c r="C122" s="14"/>
      <c r="D122" s="14"/>
      <c r="E122" s="14"/>
      <c r="F122" s="14"/>
    </row>
    <row r="123" s="1" customFormat="1" spans="3:6">
      <c r="C123" s="14"/>
      <c r="D123" s="14"/>
      <c r="E123" s="14"/>
      <c r="F123" s="14"/>
    </row>
    <row r="124" s="1" customFormat="1" spans="3:6">
      <c r="C124" s="14"/>
      <c r="D124" s="14"/>
      <c r="E124" s="14"/>
      <c r="F124" s="14"/>
    </row>
    <row r="126" s="1" customFormat="1" spans="2:8">
      <c r="B126" s="12"/>
      <c r="C126" s="12"/>
      <c r="D126" s="12"/>
      <c r="E126" s="12"/>
      <c r="F126" s="12"/>
      <c r="G126" s="12"/>
      <c r="H126" s="12"/>
    </row>
    <row r="127" s="1" customFormat="1" spans="2:2">
      <c r="B127" s="12" t="s">
        <v>50</v>
      </c>
    </row>
    <row r="128" s="1" customFormat="1" spans="2:6">
      <c r="B128" s="30" t="s">
        <v>51</v>
      </c>
      <c r="C128" s="4">
        <f>C10/C9</f>
        <v>0.472128161626006</v>
      </c>
      <c r="D128" s="4">
        <f t="shared" ref="C128:F128" si="18">D10/D9</f>
        <v>0.666808142765708</v>
      </c>
      <c r="E128" s="4">
        <f t="shared" si="18"/>
        <v>0.221552946374246</v>
      </c>
      <c r="F128" s="4">
        <f t="shared" si="18"/>
        <v>0.395711321046283</v>
      </c>
    </row>
    <row r="131" s="1" customFormat="1" spans="2:11">
      <c r="B131" s="4" t="s">
        <v>1</v>
      </c>
      <c r="C131" s="5" t="s">
        <v>2</v>
      </c>
      <c r="D131" s="5" t="s">
        <v>3</v>
      </c>
      <c r="E131" s="5" t="s">
        <v>4</v>
      </c>
      <c r="F131" s="5" t="s">
        <v>5</v>
      </c>
      <c r="G131" s="5" t="s">
        <v>6</v>
      </c>
      <c r="H131" s="5" t="s">
        <v>7</v>
      </c>
      <c r="J131" s="20"/>
      <c r="K131" s="20"/>
    </row>
    <row r="132" s="1" customFormat="1" spans="2:20">
      <c r="B132" s="4" t="s">
        <v>2</v>
      </c>
      <c r="C132" s="31">
        <f>B26*$H$132</f>
        <v>920.340365663252</v>
      </c>
      <c r="D132" s="31">
        <f>C26*$H$132</f>
        <v>915.906022408136</v>
      </c>
      <c r="E132" s="31">
        <f>D26*$H$132</f>
        <v>820.257350075465</v>
      </c>
      <c r="F132" s="31">
        <f>E26*$H$132</f>
        <v>577.503470477202</v>
      </c>
      <c r="G132" s="31">
        <f>G5*1.04</f>
        <v>2864.89632</v>
      </c>
      <c r="H132" s="4" cm="1">
        <f t="array" ref="H132:H135">MMULT(_xlfn.ANCHORARRAY(B53),G132:G135)</f>
        <v>6097.53591519622</v>
      </c>
      <c r="J132" s="28"/>
      <c r="K132" s="20"/>
      <c r="S132" s="16"/>
      <c r="T132" s="34"/>
    </row>
    <row r="133" s="1" customFormat="1" spans="2:20">
      <c r="B133" s="4" t="s">
        <v>3</v>
      </c>
      <c r="C133" s="31">
        <f>$H$133*B27</f>
        <v>1359.34684301486</v>
      </c>
      <c r="D133" s="31">
        <f>$H$133*C27</f>
        <v>1286.37174354449</v>
      </c>
      <c r="E133" s="31">
        <f>$H$133*D27</f>
        <v>1002.24229537782</v>
      </c>
      <c r="F133" s="31">
        <f>$H$133*E27</f>
        <v>2425.51713116383</v>
      </c>
      <c r="G133" s="31">
        <f>G6*1.02</f>
        <v>2773.9308</v>
      </c>
      <c r="H133" s="4">
        <v>7519.95631566609</v>
      </c>
      <c r="J133" s="28"/>
      <c r="K133" s="20"/>
      <c r="S133" s="16"/>
      <c r="T133" s="34"/>
    </row>
    <row r="134" s="1" customFormat="1" spans="2:20">
      <c r="B134" s="4" t="s">
        <v>4</v>
      </c>
      <c r="C134" s="31">
        <f>$H$134*B28</f>
        <v>390.361853953888</v>
      </c>
      <c r="D134" s="31">
        <f>$H$134*C28</f>
        <v>132.352248279166</v>
      </c>
      <c r="E134" s="31">
        <f>$H$134*D28</f>
        <v>1080.06752334035</v>
      </c>
      <c r="F134" s="31">
        <f>$H$134*E28</f>
        <v>1027.79598106563</v>
      </c>
      <c r="G134" s="31">
        <f>G7*1.03</f>
        <v>2369.55311</v>
      </c>
      <c r="H134" s="4">
        <v>5142.21548896247</v>
      </c>
      <c r="J134" s="28"/>
      <c r="K134" s="20"/>
      <c r="S134" s="16"/>
      <c r="T134" s="34"/>
    </row>
    <row r="135" s="1" customFormat="1" spans="2:20">
      <c r="B135" s="4" t="s">
        <v>5</v>
      </c>
      <c r="C135" s="31">
        <f>$H$135*B29</f>
        <v>631.762849382742</v>
      </c>
      <c r="D135" s="31">
        <f>$H$135*C29</f>
        <v>701.227183289436</v>
      </c>
      <c r="E135" s="31">
        <f>$H$135*D29</f>
        <v>788.33585968118</v>
      </c>
      <c r="F135" s="31">
        <f>$H$135*E29</f>
        <v>407.522924928246</v>
      </c>
      <c r="G135" s="31">
        <f>G8*1.04</f>
        <v>2234.2892</v>
      </c>
      <c r="H135" s="4">
        <v>5184.06282134716</v>
      </c>
      <c r="J135" s="28"/>
      <c r="K135" s="20"/>
      <c r="S135" s="16"/>
      <c r="T135" s="34"/>
    </row>
    <row r="136" s="1" customFormat="1" spans="2:11">
      <c r="B136" s="4" t="s">
        <v>8</v>
      </c>
      <c r="C136" s="6">
        <f t="shared" ref="C136:F136" si="19">C9*1.035</f>
        <v>1036.472805</v>
      </c>
      <c r="D136" s="6">
        <f t="shared" si="19"/>
        <v>1521.670455</v>
      </c>
      <c r="E136" s="6">
        <f t="shared" si="19"/>
        <v>1086.980805</v>
      </c>
      <c r="F136" s="6">
        <f t="shared" si="19"/>
        <v>997.960455</v>
      </c>
      <c r="G136" s="7"/>
      <c r="H136" s="39" t="s">
        <v>52</v>
      </c>
      <c r="J136" s="32"/>
      <c r="K136" s="20"/>
    </row>
    <row r="137" s="1" customFormat="1" spans="2:8">
      <c r="B137" s="4" t="s">
        <v>9</v>
      </c>
      <c r="C137" s="31">
        <f t="shared" ref="C137:F137" si="20">C136*C128</f>
        <v>489.348</v>
      </c>
      <c r="D137" s="31">
        <f t="shared" si="20"/>
        <v>1014.66225</v>
      </c>
      <c r="E137" s="31">
        <f t="shared" si="20"/>
        <v>240.8238</v>
      </c>
      <c r="F137" s="31">
        <f t="shared" si="20"/>
        <v>394.90425</v>
      </c>
      <c r="G137" s="7"/>
      <c r="H137" s="39" t="s">
        <v>52</v>
      </c>
    </row>
    <row r="138" s="1" customFormat="1" spans="2:8">
      <c r="B138" s="4" t="s">
        <v>10</v>
      </c>
      <c r="C138" s="31">
        <f>H132-C137-C136-C135-C134-C133-C132</f>
        <v>1269.90319818149</v>
      </c>
      <c r="D138" s="31">
        <f>H133-D137-D136-D135-D134-D133-D132</f>
        <v>1947.76641314486</v>
      </c>
      <c r="E138" s="31">
        <f>H134-E137-E136-E135-E134-E133-E132</f>
        <v>123.50785548766</v>
      </c>
      <c r="F138" s="31">
        <f>H135+F137-F136-F135-F134-F133-F132</f>
        <v>142.667108712261</v>
      </c>
      <c r="G138" s="7"/>
      <c r="H138" s="39" t="s">
        <v>52</v>
      </c>
    </row>
    <row r="139" s="1" customFormat="1" spans="2:8">
      <c r="B139" s="4" t="s">
        <v>7</v>
      </c>
      <c r="C139" s="31">
        <f>H132</f>
        <v>6097.53591519622</v>
      </c>
      <c r="D139" s="31">
        <f>H133</f>
        <v>7519.95631566609</v>
      </c>
      <c r="E139" s="31">
        <f>H134</f>
        <v>5142.21548896247</v>
      </c>
      <c r="F139" s="31">
        <f>H135</f>
        <v>5184.06282134716</v>
      </c>
      <c r="G139" s="7"/>
      <c r="H139" s="6"/>
    </row>
    <row r="140" s="1" customFormat="1" spans="1:1">
      <c r="A140" s="2"/>
    </row>
    <row r="149" s="1" customFormat="1" spans="10:20"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</row>
    <row r="150" s="1" customFormat="1" spans="10:20"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</row>
    <row r="151" s="1" customFormat="1" spans="10:20"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</row>
    <row r="152" s="1" customFormat="1" spans="10:20"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</row>
    <row r="153" s="1" customFormat="1" spans="10:20"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</row>
    <row r="154" s="1" customFormat="1" spans="1:20">
      <c r="A154" s="20"/>
      <c r="B154" s="20"/>
      <c r="C154" s="20"/>
      <c r="D154" s="19"/>
      <c r="E154" s="19"/>
      <c r="F154" s="19"/>
      <c r="G154" s="19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</row>
    <row r="155" s="1" customFormat="1" spans="1:20">
      <c r="A155" s="20"/>
      <c r="B155" s="32"/>
      <c r="C155" s="20"/>
      <c r="D155" s="19"/>
      <c r="E155" s="19"/>
      <c r="F155" s="19"/>
      <c r="G155" s="19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</row>
    <row r="156" s="1" customFormat="1" spans="1:20">
      <c r="A156" s="20"/>
      <c r="B156" s="20"/>
      <c r="C156" s="20"/>
      <c r="D156" s="19"/>
      <c r="E156" s="19"/>
      <c r="F156" s="19"/>
      <c r="G156" s="19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</row>
    <row r="157" s="1" customFormat="1" spans="1:20">
      <c r="A157" s="20"/>
      <c r="B157" s="20"/>
      <c r="C157" s="20"/>
      <c r="D157" s="19"/>
      <c r="E157" s="19"/>
      <c r="F157" s="19"/>
      <c r="G157" s="19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</row>
    <row r="158" s="1" customFormat="1" spans="1:20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</row>
    <row r="159" s="1" customFormat="1" spans="1:20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</row>
    <row r="160" s="1" customFormat="1" spans="1:2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</row>
    <row r="161" s="1" customFormat="1" spans="1:20">
      <c r="A161" s="20"/>
      <c r="B161" s="20"/>
      <c r="C161" s="20"/>
      <c r="D161" s="20"/>
      <c r="E161" s="20"/>
      <c r="F161" s="20"/>
      <c r="G161" s="20"/>
      <c r="H161" s="20"/>
      <c r="I161" s="19"/>
      <c r="J161" s="19"/>
      <c r="K161" s="19"/>
      <c r="L161" s="19"/>
      <c r="M161" s="20"/>
      <c r="N161" s="19"/>
      <c r="O161" s="19"/>
      <c r="P161" s="19"/>
      <c r="Q161" s="19"/>
      <c r="R161" s="20"/>
      <c r="S161" s="20"/>
      <c r="T161" s="20"/>
    </row>
    <row r="162" s="1" customFormat="1" spans="1:20">
      <c r="A162" s="20"/>
      <c r="B162" s="20"/>
      <c r="C162" s="20"/>
      <c r="D162" s="20"/>
      <c r="E162" s="20"/>
      <c r="F162" s="20"/>
      <c r="G162" s="20"/>
      <c r="H162" s="20"/>
      <c r="I162" s="19"/>
      <c r="J162" s="19"/>
      <c r="K162" s="19"/>
      <c r="L162" s="19"/>
      <c r="M162" s="20"/>
      <c r="N162" s="19"/>
      <c r="O162" s="19"/>
      <c r="P162" s="19"/>
      <c r="Q162" s="19"/>
      <c r="R162" s="20"/>
      <c r="S162" s="20"/>
      <c r="T162" s="20"/>
    </row>
    <row r="163" s="1" customFormat="1" spans="1:20">
      <c r="A163" s="20"/>
      <c r="B163" s="32"/>
      <c r="C163" s="20"/>
      <c r="D163" s="20"/>
      <c r="E163" s="20"/>
      <c r="F163" s="20"/>
      <c r="G163" s="20"/>
      <c r="H163" s="20"/>
      <c r="I163" s="19"/>
      <c r="J163" s="19"/>
      <c r="K163" s="19"/>
      <c r="L163" s="19"/>
      <c r="M163" s="20"/>
      <c r="N163" s="19"/>
      <c r="O163" s="19"/>
      <c r="P163" s="19"/>
      <c r="Q163" s="19"/>
      <c r="R163" s="20"/>
      <c r="S163" s="20"/>
      <c r="T163" s="20"/>
    </row>
    <row r="164" s="1" customFormat="1" spans="1:20">
      <c r="A164" s="20"/>
      <c r="B164" s="20"/>
      <c r="C164" s="20"/>
      <c r="D164" s="20"/>
      <c r="E164" s="20"/>
      <c r="F164" s="20"/>
      <c r="G164" s="20"/>
      <c r="H164" s="20"/>
      <c r="I164" s="19"/>
      <c r="J164" s="19"/>
      <c r="K164" s="19"/>
      <c r="L164" s="19"/>
      <c r="M164" s="20"/>
      <c r="N164" s="19"/>
      <c r="O164" s="19"/>
      <c r="P164" s="19"/>
      <c r="Q164" s="19"/>
      <c r="R164" s="20"/>
      <c r="S164" s="20"/>
      <c r="T164" s="20"/>
    </row>
    <row r="165" s="1" customFormat="1" spans="1:20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</row>
    <row r="166" s="1" customFormat="1" spans="1:20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</row>
    <row r="167" s="1" customFormat="1" spans="1:20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</row>
    <row r="168" s="1" customFormat="1" spans="1:20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</row>
    <row r="169" s="1" customFormat="1" spans="1:20">
      <c r="A169" s="20"/>
      <c r="B169" s="20"/>
      <c r="C169" s="19"/>
      <c r="D169" s="19"/>
      <c r="E169" s="19"/>
      <c r="F169" s="19"/>
      <c r="G169" s="19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</row>
    <row r="170" s="1" customFormat="1" spans="1:20">
      <c r="A170" s="20"/>
      <c r="B170" s="20"/>
      <c r="C170" s="19"/>
      <c r="D170" s="19"/>
      <c r="E170" s="19"/>
      <c r="F170" s="19"/>
      <c r="G170" s="19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</row>
    <row r="171" s="1" customFormat="1" spans="1:20">
      <c r="A171" s="20"/>
      <c r="B171" s="20"/>
      <c r="C171" s="20"/>
      <c r="D171" s="19"/>
      <c r="E171" s="19"/>
      <c r="F171" s="19"/>
      <c r="G171" s="19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</row>
    <row r="172" s="1" customFormat="1" spans="1:20">
      <c r="A172" s="20"/>
      <c r="B172" s="20"/>
      <c r="C172" s="19"/>
      <c r="D172" s="19"/>
      <c r="E172" s="19"/>
      <c r="F172" s="19"/>
      <c r="G172" s="19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</row>
    <row r="173" s="1" customFormat="1" spans="1:20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</row>
    <row r="174" s="1" customFormat="1" spans="1:20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</row>
    <row r="175" s="1" customFormat="1" spans="1:20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</row>
    <row r="176" s="1" customFormat="1" spans="1:20">
      <c r="A176" s="20"/>
      <c r="B176" s="20"/>
      <c r="C176" s="19"/>
      <c r="D176" s="19"/>
      <c r="E176" s="19"/>
      <c r="F176" s="19"/>
      <c r="G176" s="20"/>
      <c r="H176" s="19"/>
      <c r="I176" s="20"/>
      <c r="J176" s="20"/>
      <c r="K176" s="20"/>
      <c r="L176" s="33"/>
      <c r="M176" s="20"/>
      <c r="N176" s="20"/>
      <c r="O176" s="20"/>
      <c r="P176" s="20"/>
      <c r="Q176" s="20"/>
      <c r="R176" s="20"/>
      <c r="S176" s="20"/>
      <c r="T176" s="20"/>
    </row>
    <row r="177" s="1" customFormat="1" spans="1:20">
      <c r="A177" s="20"/>
      <c r="B177" s="32"/>
      <c r="C177" s="19"/>
      <c r="D177" s="19"/>
      <c r="E177" s="19"/>
      <c r="F177" s="19"/>
      <c r="G177" s="20"/>
      <c r="H177" s="19"/>
      <c r="I177" s="20"/>
      <c r="J177" s="20"/>
      <c r="K177" s="20"/>
      <c r="L177" s="33"/>
      <c r="M177" s="20"/>
      <c r="N177" s="20"/>
      <c r="O177" s="20"/>
      <c r="P177" s="20"/>
      <c r="Q177" s="20"/>
      <c r="R177" s="20"/>
      <c r="S177" s="20"/>
      <c r="T177" s="20"/>
    </row>
    <row r="178" s="1" customFormat="1" spans="1:20">
      <c r="A178" s="20"/>
      <c r="B178" s="20"/>
      <c r="C178" s="19"/>
      <c r="D178" s="19"/>
      <c r="E178" s="19"/>
      <c r="F178" s="19"/>
      <c r="G178" s="20"/>
      <c r="H178" s="19"/>
      <c r="I178" s="20"/>
      <c r="J178" s="20"/>
      <c r="K178" s="20"/>
      <c r="L178" s="33"/>
      <c r="M178" s="20"/>
      <c r="N178" s="20"/>
      <c r="O178" s="20"/>
      <c r="P178" s="20"/>
      <c r="Q178" s="20"/>
      <c r="R178" s="20"/>
      <c r="S178" s="20"/>
      <c r="T178" s="20"/>
    </row>
    <row r="179" s="1" customFormat="1" spans="1:20">
      <c r="A179" s="20"/>
      <c r="B179" s="20"/>
      <c r="C179" s="19"/>
      <c r="D179" s="19"/>
      <c r="E179" s="19"/>
      <c r="F179" s="19"/>
      <c r="G179" s="20"/>
      <c r="H179" s="19"/>
      <c r="I179" s="20"/>
      <c r="J179" s="20"/>
      <c r="K179" s="20"/>
      <c r="L179" s="33"/>
      <c r="M179" s="20"/>
      <c r="N179" s="20"/>
      <c r="O179" s="20"/>
      <c r="P179" s="20"/>
      <c r="Q179" s="20"/>
      <c r="R179" s="20"/>
      <c r="S179" s="20"/>
      <c r="T179" s="20"/>
    </row>
    <row r="180" s="1" customFormat="1" spans="1:2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</row>
    <row r="186" s="1" customFormat="1" spans="1:20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</row>
    <row r="187" s="1" customFormat="1" spans="1:20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</row>
  </sheetData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ВЫХУХОЛЬ</dc:creator>
  <cp:lastModifiedBy>fergus</cp:lastModifiedBy>
  <dcterms:created xsi:type="dcterms:W3CDTF">2026-03-31T15:00:00Z</dcterms:created>
  <dcterms:modified xsi:type="dcterms:W3CDTF">2026-04-01T09:59:51Z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ED58981498BB4ABBAAB479819BA9B5AB_13</vt:lpwstr>
  </property>
  <property fmtid="{D5CDD505-2E9C-101B-9397-08002B2CF9AE}" pid="3" name="KSOProductBuildVer">
    <vt:lpwstr>1049-12.2.0.23197</vt:lpwstr>
  </property>
</Properties>
</file>