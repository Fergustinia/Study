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885"/>
  </bookViews>
  <sheets>
    <sheet name="Равновесные модели FC №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<sst xmlns="http://schemas.openxmlformats.org/spreadsheetml/2006/main" count="104" uniqueCount="91">
  <si>
    <t>Вариант 1</t>
  </si>
  <si>
    <t>Период сглаживания = 3</t>
  </si>
  <si>
    <t>S</t>
  </si>
  <si>
    <t>С</t>
  </si>
  <si>
    <t>D</t>
  </si>
  <si>
    <t>Трёхуровневое сглаживание</t>
  </si>
  <si>
    <t>Месяц №</t>
  </si>
  <si>
    <t>Цена</t>
  </si>
  <si>
    <t>Спрос</t>
  </si>
  <si>
    <t>Доход</t>
  </si>
  <si>
    <t>Период</t>
  </si>
  <si>
    <t>По цене (L)</t>
  </si>
  <si>
    <t>По спросу (Y)</t>
  </si>
  <si>
    <t>По доходу (Ô)</t>
  </si>
  <si>
    <t>ln(L)</t>
  </si>
  <si>
    <t>ln(Y)</t>
  </si>
  <si>
    <t>ln(Ô)</t>
  </si>
  <si>
    <t>ln^2(Ô)</t>
  </si>
  <si>
    <t>ln^2(L)</t>
  </si>
  <si>
    <t>ln(Ô)*ln(L)</t>
  </si>
  <si>
    <t>ln(Y)*ln(Ô)</t>
  </si>
  <si>
    <t>ln(Y)*ln(L)</t>
  </si>
  <si>
    <t>1..3</t>
  </si>
  <si>
    <t>2..4</t>
  </si>
  <si>
    <t>3..5</t>
  </si>
  <si>
    <t>4..6</t>
  </si>
  <si>
    <t>5..7</t>
  </si>
  <si>
    <t>6..8</t>
  </si>
  <si>
    <t>7..9</t>
  </si>
  <si>
    <t>8..10</t>
  </si>
  <si>
    <t>9..11</t>
  </si>
  <si>
    <t>10..12</t>
  </si>
  <si>
    <t>11..13</t>
  </si>
  <si>
    <t>12..14</t>
  </si>
  <si>
    <t>13..15</t>
  </si>
  <si>
    <t>14..16</t>
  </si>
  <si>
    <t>15..17</t>
  </si>
  <si>
    <t>16..18</t>
  </si>
  <si>
    <t>17..19</t>
  </si>
  <si>
    <t>18..20</t>
  </si>
  <si>
    <t>19..21</t>
  </si>
  <si>
    <t>Возьмём за X</t>
  </si>
  <si>
    <t>N=</t>
  </si>
  <si>
    <t>Месяцев</t>
  </si>
  <si>
    <t>x1 =</t>
  </si>
  <si>
    <t>ln(a)</t>
  </si>
  <si>
    <t>x2 =</t>
  </si>
  <si>
    <t>alpha</t>
  </si>
  <si>
    <t>x3 =</t>
  </si>
  <si>
    <t>beta</t>
  </si>
  <si>
    <t>N</t>
  </si>
  <si>
    <t>ln(Ô) сумма</t>
  </si>
  <si>
    <t>ln(L) сумма</t>
  </si>
  <si>
    <t>ln(Y) сумма</t>
  </si>
  <si>
    <t>,=</t>
  </si>
  <si>
    <t>ln(Ô)^2 сумма</t>
  </si>
  <si>
    <t>ln(Ô) ln(L)  сумма</t>
  </si>
  <si>
    <t>ln(Y)*ln(Ô) сумма</t>
  </si>
  <si>
    <t>ln(L)^2 сумма</t>
  </si>
  <si>
    <t>ln(Y)*ln(L) сумма</t>
  </si>
  <si>
    <t>.=</t>
  </si>
  <si>
    <t>--&gt;</t>
  </si>
  <si>
    <t>a =</t>
  </si>
  <si>
    <t>alpha =</t>
  </si>
  <si>
    <t>beta =</t>
  </si>
  <si>
    <t>Выровненный спрос (C)</t>
  </si>
  <si>
    <t>Аппроксимированный спрос (Y)</t>
  </si>
  <si>
    <t xml:space="preserve"> Знаменатель в формуле индекса корреляции</t>
  </si>
  <si>
    <t xml:space="preserve"> Числитель в формуле индекса корреляции</t>
  </si>
  <si>
    <t>Среднее значение (Сумма) Средний спрос (С)</t>
  </si>
  <si>
    <t>Корреляция:</t>
  </si>
  <si>
    <t>Спрос = 3195874,788 × D^(-0.282) × s^(-0.024)</t>
  </si>
  <si>
    <t>Средний спрос (С)</t>
  </si>
  <si>
    <t>Средний доход (D)</t>
  </si>
  <si>
    <t>Средняя цена (S)</t>
  </si>
  <si>
    <t>Если цена вырастет на 1 рубль, спрос снизится примерно на 3,15 единицы (штук/кг)</t>
  </si>
  <si>
    <t>Если доход вырастет на 1 рубль, спрос снизится примерно на 0,93 единицы.</t>
  </si>
  <si>
    <t>Us</t>
  </si>
  <si>
    <t>&gt;0</t>
  </si>
  <si>
    <t>Предельная эффективность спроса по цене</t>
  </si>
  <si>
    <t>Ud</t>
  </si>
  <si>
    <t>Предельная эффективность спроса по доходу</t>
  </si>
  <si>
    <t>β (эластичность по цене) =</t>
  </si>
  <si>
    <t>При увеличении цены на 1% спрос повышается на 0.361%.</t>
  </si>
  <si>
    <t>Так как |β| &lt; 1, спрос является неэластичным по цене.</t>
  </si>
  <si>
    <t>Это товар первой необходимости — люди продолжат его покупать даже при росте цен, потому что заменить нечем.</t>
  </si>
  <si>
    <r>
      <t xml:space="preserve">Эластичность спроса </t>
    </r>
    <r>
      <rPr>
        <sz val="10"/>
        <color theme="1"/>
        <rFont val="Times New Roman"/>
        <charset val="134"/>
      </rPr>
      <t>по</t>
    </r>
    <r>
      <rPr>
        <b/>
        <sz val="10"/>
        <color theme="1"/>
        <rFont val="Times New Roman"/>
        <charset val="134"/>
      </rPr>
      <t xml:space="preserve"> доходу </t>
    </r>
    <r>
      <rPr>
        <sz val="10"/>
        <color theme="1"/>
        <rFont val="Times New Roman"/>
        <charset val="134"/>
      </rPr>
      <t>показывает процент увеличения спроса при росте дохода на 1%</t>
    </r>
  </si>
  <si>
    <t>α (эластичность по доходу) =</t>
  </si>
  <si>
    <t>При увеличении дохода на 1% спросповышается на 1.009%.</t>
  </si>
  <si>
    <t>Отрицательное значение означает, что товар относится к категории инфериорных (низкокачественных).</t>
  </si>
  <si>
    <t>Потребитель при росте дохода переключается на более качественные товары-заменители.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</si>
</sst>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0.000"/>
  </numFmts>
  <fonts count="31">
    <font>
      <sz val="11"/>
      <color theme="1"/>
      <name val="Calibri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1"/>
      <color rgb="FF000000"/>
      <name val="Times New Roman"/>
      <charset val="134"/>
    </font>
    <font>
      <sz val="11"/>
      <color rgb="FF000000"/>
      <name val="Times New Roman"/>
      <charset val="134"/>
    </font>
    <font>
      <sz val="11"/>
      <name val="Times New Roman"/>
      <charset val="134"/>
    </font>
    <font>
      <b/>
      <sz val="10"/>
      <color theme="1"/>
      <name val="Times New Roman"/>
      <charset val="134"/>
    </font>
    <font>
      <sz val="21"/>
      <color theme="1"/>
      <name val="Times New Roman"/>
      <charset val="134"/>
    </font>
    <font>
      <sz val="11"/>
      <color rgb="FFFCE5CD"/>
      <name val="Times New Roman"/>
      <charset val="134"/>
    </font>
    <font>
      <sz val="10"/>
      <color theme="1"/>
      <name val="Times New Roman"/>
      <charset val="134"/>
    </font>
    <font>
      <b/>
      <sz val="11"/>
      <color theme="1"/>
      <name val="Calibri"/>
      <charset val="134"/>
      <scheme val="minor"/>
    </font>
    <font>
      <sz val="18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2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3" borderId="20" applyNumberFormat="0" applyAlignment="0" applyProtection="0">
      <alignment vertical="center"/>
    </xf>
    <xf numFmtId="0" fontId="21" fillId="4" borderId="21" applyNumberFormat="0" applyAlignment="0" applyProtection="0">
      <alignment vertical="center"/>
    </xf>
    <xf numFmtId="0" fontId="22" fillId="4" borderId="20" applyNumberFormat="0" applyAlignment="0" applyProtection="0">
      <alignment vertical="center"/>
    </xf>
    <xf numFmtId="0" fontId="23" fillId="5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</cellStyleXfs>
  <cellXfs count="138">
    <xf numFmtId="0" fontId="0" fillId="0" borderId="0" xfId="0" applyFont="1" applyAlignment="1"/>
    <xf numFmtId="0" fontId="1" fillId="0" borderId="0" xfId="0" applyFont="1" applyFill="1" applyAlignment="1"/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180" fontId="4" fillId="0" borderId="5" xfId="0" applyNumberFormat="1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180" fontId="4" fillId="0" borderId="8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  <xf numFmtId="180" fontId="4" fillId="0" borderId="0" xfId="0" applyNumberFormat="1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5" fillId="0" borderId="0" xfId="0" applyFont="1" applyFill="1" applyBorder="1"/>
    <xf numFmtId="180" fontId="4" fillId="0" borderId="5" xfId="0" applyNumberFormat="1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/>
    </xf>
    <xf numFmtId="0" fontId="5" fillId="0" borderId="2" xfId="0" applyFont="1" applyFill="1" applyBorder="1"/>
    <xf numFmtId="0" fontId="5" fillId="0" borderId="0" xfId="0" applyFont="1" applyFill="1" applyBorder="1"/>
    <xf numFmtId="0" fontId="1" fillId="0" borderId="0" xfId="0" applyFont="1" applyFill="1" applyBorder="1" applyAlignment="1"/>
    <xf numFmtId="0" fontId="4" fillId="0" borderId="5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left"/>
    </xf>
    <xf numFmtId="0" fontId="8" fillId="0" borderId="0" xfId="0" applyFont="1" applyFill="1" applyBorder="1"/>
    <xf numFmtId="0" fontId="2" fillId="0" borderId="2" xfId="0" applyFont="1" applyFill="1" applyBorder="1" applyAlignment="1">
      <alignment horizontal="center" vertical="center"/>
    </xf>
    <xf numFmtId="0" fontId="5" fillId="0" borderId="4" xfId="0" applyFont="1" applyFill="1" applyBorder="1"/>
    <xf numFmtId="0" fontId="3" fillId="0" borderId="5" xfId="0" applyFont="1" applyFill="1" applyBorder="1" applyAlignment="1">
      <alignment horizontal="right" vertical="center"/>
    </xf>
    <xf numFmtId="0" fontId="4" fillId="0" borderId="1" xfId="0" applyFont="1" applyFill="1" applyBorder="1" applyAlignment="1">
      <alignment horizontal="left" vertical="center"/>
    </xf>
    <xf numFmtId="0" fontId="5" fillId="0" borderId="2" xfId="0" applyFont="1" applyFill="1" applyBorder="1"/>
    <xf numFmtId="0" fontId="8" fillId="0" borderId="0" xfId="0" applyFont="1" applyFill="1" applyBorder="1"/>
    <xf numFmtId="0" fontId="8" fillId="0" borderId="0" xfId="0" applyFont="1" applyFill="1" applyBorder="1"/>
    <xf numFmtId="0" fontId="3" fillId="0" borderId="4" xfId="0" applyFont="1" applyFill="1" applyBorder="1" applyAlignment="1">
      <alignment horizontal="right" vertical="center"/>
    </xf>
    <xf numFmtId="0" fontId="4" fillId="0" borderId="5" xfId="0" applyFont="1" applyFill="1" applyBorder="1" applyAlignment="1">
      <alignment horizontal="left" vertical="center"/>
    </xf>
    <xf numFmtId="0" fontId="9" fillId="0" borderId="0" xfId="0" applyFont="1" applyFill="1" applyAlignment="1"/>
    <xf numFmtId="0" fontId="1" fillId="0" borderId="5" xfId="0" applyFont="1" applyFill="1" applyBorder="1" applyAlignment="1">
      <alignment horizontal="center" vertical="center"/>
    </xf>
    <xf numFmtId="0" fontId="8" fillId="0" borderId="0" xfId="0" applyFont="1" applyFill="1" applyBorder="1"/>
    <xf numFmtId="180" fontId="1" fillId="0" borderId="1" xfId="0" applyNumberFormat="1" applyFont="1" applyFill="1" applyBorder="1" applyAlignment="1">
      <alignment horizontal="center" vertical="center"/>
    </xf>
    <xf numFmtId="180" fontId="1" fillId="0" borderId="2" xfId="0" applyNumberFormat="1" applyFont="1" applyFill="1" applyBorder="1" applyAlignment="1">
      <alignment horizontal="center" vertical="center"/>
    </xf>
    <xf numFmtId="180" fontId="1" fillId="0" borderId="4" xfId="0" applyNumberFormat="1" applyFont="1" applyFill="1" applyBorder="1" applyAlignment="1">
      <alignment horizontal="center" vertical="center"/>
    </xf>
    <xf numFmtId="180" fontId="3" fillId="0" borderId="5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>
      <alignment horizontal="center" vertical="center"/>
    </xf>
    <xf numFmtId="180" fontId="3" fillId="0" borderId="0" xfId="0" applyNumberFormat="1" applyFont="1" applyFill="1" applyAlignment="1">
      <alignment horizontal="center" vertical="center"/>
    </xf>
    <xf numFmtId="0" fontId="8" fillId="0" borderId="0" xfId="0" applyFont="1" applyFill="1" applyBorder="1"/>
    <xf numFmtId="0" fontId="1" fillId="0" borderId="0" xfId="0" applyFont="1" applyFill="1" applyBorder="1"/>
    <xf numFmtId="180" fontId="1" fillId="0" borderId="5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/>
    <xf numFmtId="0" fontId="8" fillId="0" borderId="0" xfId="0" applyFont="1" applyFill="1"/>
    <xf numFmtId="0" fontId="7" fillId="0" borderId="9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vertical="center"/>
    </xf>
    <xf numFmtId="0" fontId="5" fillId="0" borderId="10" xfId="0" applyFont="1" applyFill="1" applyBorder="1" applyAlignment="1">
      <alignment vertical="center"/>
    </xf>
    <xf numFmtId="0" fontId="5" fillId="0" borderId="0" xfId="0" applyFont="1" applyFill="1" applyBorder="1"/>
    <xf numFmtId="180" fontId="4" fillId="0" borderId="1" xfId="0" applyNumberFormat="1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5" fillId="0" borderId="11" xfId="0" applyFont="1" applyFill="1" applyBorder="1"/>
    <xf numFmtId="0" fontId="1" fillId="0" borderId="0" xfId="0" applyFont="1" applyFill="1" applyBorder="1"/>
    <xf numFmtId="0" fontId="8" fillId="0" borderId="0" xfId="0" applyFont="1" applyFill="1" applyBorder="1"/>
    <xf numFmtId="0" fontId="1" fillId="0" borderId="4" xfId="0" applyFont="1" applyFill="1" applyBorder="1"/>
    <xf numFmtId="0" fontId="1" fillId="0" borderId="2" xfId="0" applyFont="1" applyFill="1" applyBorder="1"/>
    <xf numFmtId="0" fontId="5" fillId="0" borderId="0" xfId="0" applyFont="1" applyFill="1" applyBorder="1"/>
    <xf numFmtId="180" fontId="1" fillId="0" borderId="5" xfId="0" applyNumberFormat="1" applyFont="1" applyFill="1" applyBorder="1" applyAlignment="1">
      <alignment horizontal="center" vertical="center"/>
    </xf>
    <xf numFmtId="180" fontId="4" fillId="0" borderId="5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center"/>
    </xf>
    <xf numFmtId="0" fontId="4" fillId="0" borderId="5" xfId="0" applyFont="1" applyFill="1" applyBorder="1" applyAlignment="1">
      <alignment horizontal="right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/>
    </xf>
    <xf numFmtId="180" fontId="1" fillId="0" borderId="5" xfId="0" applyNumberFormat="1" applyFont="1" applyFill="1" applyBorder="1" applyAlignment="1">
      <alignment horizontal="center"/>
    </xf>
    <xf numFmtId="0" fontId="2" fillId="0" borderId="0" xfId="0" applyFont="1" applyFill="1" applyAlignment="1">
      <alignment vertical="center" wrapText="1"/>
    </xf>
    <xf numFmtId="0" fontId="7" fillId="0" borderId="12" xfId="0" applyFont="1" applyFill="1" applyBorder="1" applyAlignment="1">
      <alignment horizontal="center" vertical="center"/>
    </xf>
    <xf numFmtId="0" fontId="5" fillId="0" borderId="13" xfId="0" applyFont="1" applyFill="1" applyBorder="1"/>
    <xf numFmtId="180" fontId="1" fillId="0" borderId="9" xfId="0" applyNumberFormat="1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/>
    </xf>
    <xf numFmtId="180" fontId="1" fillId="0" borderId="6" xfId="0" applyNumberFormat="1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/>
    </xf>
    <xf numFmtId="0" fontId="2" fillId="0" borderId="0" xfId="0" applyFont="1" applyFill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180" fontId="1" fillId="0" borderId="0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/>
    <xf numFmtId="0" fontId="6" fillId="0" borderId="0" xfId="0" applyFont="1" applyFill="1" applyBorder="1" applyAlignment="1">
      <alignment vertical="center" wrapText="1"/>
    </xf>
    <xf numFmtId="0" fontId="6" fillId="0" borderId="0" xfId="0" applyFont="1" applyFill="1" applyBorder="1" applyAlignment="1">
      <alignment vertical="center" wrapText="1"/>
    </xf>
    <xf numFmtId="0" fontId="6" fillId="0" borderId="0" xfId="0" applyFont="1" applyFill="1" applyBorder="1" applyAlignment="1">
      <alignment vertical="center" wrapText="1"/>
    </xf>
    <xf numFmtId="0" fontId="8" fillId="0" borderId="0" xfId="0" applyFont="1" applyFill="1" applyBorder="1" applyAlignment="1"/>
    <xf numFmtId="0" fontId="6" fillId="0" borderId="0" xfId="0" applyFont="1" applyFill="1" applyBorder="1" applyAlignment="1">
      <alignment vertical="center" wrapText="1"/>
    </xf>
    <xf numFmtId="0" fontId="6" fillId="0" borderId="0" xfId="0" applyFont="1" applyFill="1" applyBorder="1" applyAlignment="1">
      <alignment vertical="center" wrapText="1"/>
    </xf>
    <xf numFmtId="0" fontId="6" fillId="0" borderId="0" xfId="0" applyFont="1" applyFill="1" applyBorder="1" applyAlignment="1">
      <alignment vertical="center" wrapText="1"/>
    </xf>
    <xf numFmtId="0" fontId="8" fillId="0" borderId="0" xfId="0" applyFont="1" applyFill="1" applyBorder="1" applyAlignment="1"/>
    <xf numFmtId="0" fontId="1" fillId="0" borderId="0" xfId="0" applyFont="1" applyFill="1" applyBorder="1" applyAlignment="1"/>
    <xf numFmtId="180" fontId="2" fillId="0" borderId="5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/>
    <xf numFmtId="180" fontId="0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/>
    </xf>
    <xf numFmtId="0" fontId="5" fillId="0" borderId="0" xfId="0" applyFont="1" applyFill="1" applyBorder="1"/>
    <xf numFmtId="0" fontId="8" fillId="0" borderId="1" xfId="0" applyFont="1" applyFill="1" applyBorder="1"/>
    <xf numFmtId="0" fontId="1" fillId="0" borderId="11" xfId="0" applyFont="1" applyFill="1" applyBorder="1"/>
    <xf numFmtId="0" fontId="1" fillId="0" borderId="14" xfId="0" applyFont="1" applyFill="1" applyBorder="1"/>
    <xf numFmtId="0" fontId="1" fillId="0" borderId="15" xfId="0" applyFont="1" applyFill="1" applyBorder="1"/>
    <xf numFmtId="0" fontId="1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1" fillId="0" borderId="16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2" fillId="0" borderId="0" xfId="0" applyFont="1" applyFill="1" applyAlignment="1">
      <alignment horizontal="left"/>
    </xf>
    <xf numFmtId="180" fontId="1" fillId="0" borderId="0" xfId="0" applyNumberFormat="1" applyFont="1" applyFill="1" applyAlignment="1">
      <alignment horizontal="left"/>
    </xf>
    <xf numFmtId="0" fontId="1" fillId="0" borderId="0" xfId="0" applyFont="1" applyFill="1" applyBorder="1" applyAlignment="1"/>
    <xf numFmtId="0" fontId="1" fillId="0" borderId="0" xfId="0" applyFont="1" applyFill="1" applyBorder="1"/>
    <xf numFmtId="0" fontId="1" fillId="0" borderId="0" xfId="0" applyFont="1" applyFill="1" applyBorder="1" applyAlignment="1"/>
    <xf numFmtId="0" fontId="1" fillId="0" borderId="0" xfId="0" applyFont="1" applyFill="1" applyBorder="1"/>
    <xf numFmtId="0" fontId="11" fillId="0" borderId="0" xfId="0" applyFont="1" applyFill="1" applyAlignment="1">
      <alignment horizontal="right" vertical="center"/>
    </xf>
    <xf numFmtId="180" fontId="11" fillId="0" borderId="0" xfId="0" applyNumberFormat="1" applyFont="1" applyFill="1" applyAlignment="1">
      <alignment horizontal="left" vertical="center"/>
    </xf>
    <xf numFmtId="0" fontId="6" fillId="0" borderId="0" xfId="0" applyFont="1" applyFill="1" applyAlignment="1"/>
    <xf numFmtId="0" fontId="1" fillId="0" borderId="0" xfId="0" applyFont="1" applyFill="1" applyBorder="1" applyAlignment="1"/>
    <xf numFmtId="0" fontId="1" fillId="0" borderId="0" xfId="0" applyFont="1" applyFill="1" applyBorder="1"/>
    <xf numFmtId="0" fontId="1" fillId="0" borderId="0" xfId="0" applyFont="1" applyFill="1" applyBorder="1" applyAlignment="1"/>
    <xf numFmtId="0" fontId="2" fillId="0" borderId="0" xfId="0" applyFont="1" applyFill="1" applyBorder="1" applyAlignment="1"/>
    <xf numFmtId="0" fontId="8" fillId="0" borderId="0" xfId="0" applyFont="1" applyFill="1" applyBorder="1" applyAlignment="1"/>
    <xf numFmtId="0" fontId="6" fillId="0" borderId="0" xfId="0" applyFont="1" applyFill="1" applyBorder="1" applyAlignment="1">
      <alignment vertical="center" wrapText="1"/>
    </xf>
    <xf numFmtId="0" fontId="6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/>
    <xf numFmtId="0" fontId="1" fillId="0" borderId="0" xfId="0" applyFont="1" applyFill="1" applyBorder="1"/>
    <xf numFmtId="0" fontId="2" fillId="0" borderId="0" xfId="0" applyFont="1" applyFill="1" applyBorder="1" applyAlignment="1">
      <alignment vertical="center" wrapText="1"/>
    </xf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lvl="0">
              <a:defRPr lang="ru-RU" sz="2400" b="1" i="0" u="none" strike="noStrike" kern="1200" baseline="0">
                <a:solidFill>
                  <a:srgbClr val="757575"/>
                </a:solidFill>
                <a:latin typeface="Arial" panose="020B0604020202020204"/>
                <a:ea typeface="+mn-ea"/>
                <a:cs typeface="+mn-cs"/>
              </a:defRPr>
            </a:pPr>
            <a:r>
              <a:rPr sz="2400" b="1">
                <a:solidFill>
                  <a:srgbClr val="757575"/>
                </a:solidFill>
                <a:latin typeface="Arial" panose="020B0604020202020204"/>
              </a:rPr>
              <a:t>Трёхуровневое сглаживание</a:t>
            </a:r>
            <a:endParaRPr sz="2400" b="1">
              <a:solidFill>
                <a:srgbClr val="757575"/>
              </a:solidFill>
              <a:latin typeface="Arial" panose="020B0604020202020204"/>
            </a:endParaRPr>
          </a:p>
        </c:rich>
      </c:tx>
      <c:layout/>
      <c:overlay val="0"/>
    </c:title>
    <c:autoTitleDeleted val="0"/>
    <c:plotArea>
      <c:layout/>
      <c:lineChart>
        <c:grouping val="none"/>
        <c:varyColors val="0"/>
        <c:ser>
          <c:idx val="0"/>
          <c:order val="0"/>
          <c:tx>
            <c:strRef>
              <c:f>'Равновесные модели FC №1'!$E$4</c:f>
              <c:strCache>
                <c:ptCount val="1"/>
                <c:pt idx="0">
                  <c:v>Доход</c:v>
                </c:pt>
              </c:strCache>
            </c:strRef>
          </c:tx>
          <c:spPr>
            <a:ln w="19050" cap="rnd" cmpd="sng" algn="ctr">
              <a:solidFill>
                <a:srgbClr val="4F81BD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'Равновесные модели FC №1'!$E$5:$E$27</c:f>
              <c:numCache>
                <c:formatCode>General</c:formatCode>
                <c:ptCount val="23"/>
                <c:pt idx="0">
                  <c:v>25800</c:v>
                </c:pt>
                <c:pt idx="1">
                  <c:v>25875</c:v>
                </c:pt>
                <c:pt idx="2">
                  <c:v>26000</c:v>
                </c:pt>
                <c:pt idx="3">
                  <c:v>26000</c:v>
                </c:pt>
                <c:pt idx="4">
                  <c:v>26400</c:v>
                </c:pt>
                <c:pt idx="5">
                  <c:v>27200</c:v>
                </c:pt>
                <c:pt idx="6">
                  <c:v>27250</c:v>
                </c:pt>
                <c:pt idx="7">
                  <c:v>27275</c:v>
                </c:pt>
                <c:pt idx="8">
                  <c:v>27300</c:v>
                </c:pt>
                <c:pt idx="9">
                  <c:v>27300</c:v>
                </c:pt>
                <c:pt idx="10">
                  <c:v>27400</c:v>
                </c:pt>
                <c:pt idx="11">
                  <c:v>27500</c:v>
                </c:pt>
                <c:pt idx="12">
                  <c:v>27500</c:v>
                </c:pt>
                <c:pt idx="13">
                  <c:v>28000</c:v>
                </c:pt>
                <c:pt idx="14">
                  <c:v>28000</c:v>
                </c:pt>
                <c:pt idx="15">
                  <c:v>28000</c:v>
                </c:pt>
                <c:pt idx="16">
                  <c:v>28000</c:v>
                </c:pt>
                <c:pt idx="17">
                  <c:v>28000</c:v>
                </c:pt>
                <c:pt idx="18">
                  <c:v>29000</c:v>
                </c:pt>
                <c:pt idx="19">
                  <c:v>29000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'Равновесные модели FC №1'!$I$4</c:f>
              <c:strCache>
                <c:ptCount val="1"/>
                <c:pt idx="0">
                  <c:v>По доходу (Ô)</c:v>
                </c:pt>
              </c:strCache>
            </c:strRef>
          </c:tx>
          <c:spPr>
            <a:ln w="19050" cap="rnd" cmpd="sng" algn="ctr">
              <a:solidFill>
                <a:srgbClr val="C0504D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'Равновесные модели FC №1'!$I$5:$I$27</c:f>
              <c:numCache>
                <c:formatCode>General</c:formatCode>
                <c:ptCount val="23"/>
                <c:pt idx="1" c:formatCode="0.000">
                  <c:v>25891.6666666667</c:v>
                </c:pt>
                <c:pt idx="2" c:formatCode="0.000">
                  <c:v>25958.3333333333</c:v>
                </c:pt>
                <c:pt idx="3" c:formatCode="0.000">
                  <c:v>26133.3333333333</c:v>
                </c:pt>
                <c:pt idx="4" c:formatCode="0.000">
                  <c:v>26533.3333333333</c:v>
                </c:pt>
                <c:pt idx="5" c:formatCode="0.000">
                  <c:v>26950</c:v>
                </c:pt>
                <c:pt idx="6" c:formatCode="0.000">
                  <c:v>27241.6666666667</c:v>
                </c:pt>
                <c:pt idx="7" c:formatCode="0.000">
                  <c:v>27275</c:v>
                </c:pt>
                <c:pt idx="8" c:formatCode="0.000">
                  <c:v>27291.6666666667</c:v>
                </c:pt>
                <c:pt idx="9" c:formatCode="0.000">
                  <c:v>27333.3333333333</c:v>
                </c:pt>
                <c:pt idx="10" c:formatCode="0.000">
                  <c:v>27400</c:v>
                </c:pt>
                <c:pt idx="11" c:formatCode="0.000">
                  <c:v>27466.6666666667</c:v>
                </c:pt>
                <c:pt idx="12" c:formatCode="0.000">
                  <c:v>27666.6666666667</c:v>
                </c:pt>
                <c:pt idx="13" c:formatCode="0.000">
                  <c:v>27833.3333333333</c:v>
                </c:pt>
                <c:pt idx="14" c:formatCode="0.000">
                  <c:v>28000</c:v>
                </c:pt>
                <c:pt idx="15" c:formatCode="0.000">
                  <c:v>28000</c:v>
                </c:pt>
                <c:pt idx="16" c:formatCode="0.000">
                  <c:v>28000</c:v>
                </c:pt>
                <c:pt idx="17" c:formatCode="0.000">
                  <c:v>28333.3333333333</c:v>
                </c:pt>
                <c:pt idx="18" c:formatCode="0.000">
                  <c:v>28666.6666666667</c:v>
                </c:pt>
                <c:pt idx="19" c:formatCode="0.000">
                  <c:v>29000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702144272"/>
        <c:axId val="1155824759"/>
      </c:lineChart>
      <c:catAx>
        <c:axId val="1702144272"/>
        <c:scaling>
          <c:orientation val="minMax"/>
        </c:scaling>
        <c:delete val="0"/>
        <c:axPos val="b"/>
        <c:title>
          <c:layout/>
          <c:overlay val="0"/>
          <c:tx>
            <c:rich>
              <a:bodyPr/>
              <a:lstStyle/>
              <a:p>
                <a:pPr>
                  <a:defRPr/>
                </a:pPr>
              </a:p>
            </c:rich>
          </c:tx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ru-RU"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1155824759"/>
        <c:crosses val="autoZero"/>
        <c:auto val="1"/>
        <c:lblAlgn val="ctr"/>
        <c:lblOffset val="100"/>
        <c:noMultiLvlLbl val="0"/>
      </c:catAx>
      <c:valAx>
        <c:axId val="1155824759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</c:spPr>
        </c:majorGridlines>
        <c:minorGridlines>
          <c:spPr>
            <a:ln w="6350" cap="flat" cmpd="sng" algn="ctr">
              <a:solidFill>
                <a:srgbClr val="CCCCCC">
                  <a:alpha val="0"/>
                </a:srgb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0" vertOverflow="ellipsis" vert="horz" wrap="square" anchor="ctr" anchorCtr="1"/>
              <a:lstStyle/>
              <a:p>
                <a:pPr lvl="0">
                  <a:defRPr lang="ru-RU" sz="14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 b="0">
                    <a:solidFill>
                      <a:srgbClr val="000000"/>
                    </a:solidFill>
                    <a:latin typeface="+mn-lt"/>
                  </a:rPr>
                  <a:t>Доход</a:t>
                </a:r>
                <a:endParaRPr sz="1400" b="0">
                  <a:solidFill>
                    <a:srgbClr val="000000"/>
                  </a:solidFill>
                  <a:latin typeface="+mn-lt"/>
                </a:endParaRP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spPr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ru-RU"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1702144272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ru-RU" sz="2400" b="0" i="0" u="none" strike="noStrike" kern="1200" baseline="0">
              <a:solidFill>
                <a:srgbClr val="1A1A1A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64bed7a-0501-4119-b968-591c1339b84d}"/>
      </c:ext>
    </c:extLst>
  </c:chart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638175</xdr:colOff>
      <xdr:row>36</xdr:row>
      <xdr:rowOff>95250</xdr:rowOff>
    </xdr:from>
    <xdr:ext cx="5715000" cy="3533775"/>
    <xdr:graphicFrame>
      <xdr:nvGraphicFramePr>
        <xdr:cNvPr id="1564811355" name="Chart 1" title="Диаграмма"/>
        <xdr:cNvGraphicFramePr/>
      </xdr:nvGraphicFramePr>
      <xdr:xfrm>
        <a:off x="638175" y="7105650"/>
        <a:ext cx="5715000" cy="35337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561975</xdr:colOff>
      <xdr:row>31</xdr:row>
      <xdr:rowOff>47625</xdr:rowOff>
    </xdr:from>
    <xdr:ext cx="8029575" cy="3248025"/>
    <xdr:pic>
      <xdr:nvPicPr>
        <xdr:cNvPr id="4" name="image14.png" title="Изображение"/>
        <xdr:cNvPicPr preferRelativeResize="0"/>
      </xdr:nvPicPr>
      <xdr:blipFill>
        <a:blip r:embed="rId2" cstate="print"/>
        <a:stretch>
          <a:fillRect/>
        </a:stretch>
      </xdr:blipFill>
      <xdr:spPr>
        <a:xfrm>
          <a:off x="18202275" y="6057900"/>
          <a:ext cx="8029575" cy="32480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1143000</xdr:colOff>
      <xdr:row>111</xdr:row>
      <xdr:rowOff>9525</xdr:rowOff>
    </xdr:from>
    <xdr:ext cx="2076450" cy="581025"/>
    <xdr:pic>
      <xdr:nvPicPr>
        <xdr:cNvPr id="8" name="image16.png" title="Изображение"/>
        <xdr:cNvPicPr preferRelativeResize="0"/>
      </xdr:nvPicPr>
      <xdr:blipFill>
        <a:blip r:embed="rId3" cstate="print"/>
        <a:stretch>
          <a:fillRect/>
        </a:stretch>
      </xdr:blipFill>
      <xdr:spPr>
        <a:xfrm>
          <a:off x="5638800" y="22021800"/>
          <a:ext cx="20764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742950</xdr:colOff>
      <xdr:row>28</xdr:row>
      <xdr:rowOff>114300</xdr:rowOff>
    </xdr:from>
    <xdr:ext cx="2076450" cy="581025"/>
    <xdr:pic>
      <xdr:nvPicPr>
        <xdr:cNvPr id="10" name="image16.png" title="Изображение"/>
        <xdr:cNvPicPr preferRelativeResize="0"/>
      </xdr:nvPicPr>
      <xdr:blipFill>
        <a:blip r:embed="rId3" cstate="print"/>
        <a:stretch>
          <a:fillRect/>
        </a:stretch>
      </xdr:blipFill>
      <xdr:spPr>
        <a:xfrm>
          <a:off x="12382500" y="5524500"/>
          <a:ext cx="20764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238125</xdr:colOff>
      <xdr:row>24</xdr:row>
      <xdr:rowOff>152400</xdr:rowOff>
    </xdr:from>
    <xdr:ext cx="8725535" cy="273685"/>
    <xdr:sp>
      <xdr:nvSpPr>
        <xdr:cNvPr id="11" name="Текстовое поле 10"/>
        <xdr:cNvSpPr txBox="1"/>
      </xdr:nvSpPr>
      <xdr:spPr>
        <a:xfrm>
          <a:off x="895350" y="4762500"/>
          <a:ext cx="8725535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ПЕРВОЕ - Отчетные данные рядов динамики (С, D, s), накопленные за предшествующие 24 месяца, выровнять методом «скользящая средняя»</a:t>
          </a:r>
          <a:endParaRPr lang="ru-RU" altLang="en-US" sz="1100"/>
        </a:p>
      </xdr:txBody>
    </xdr:sp>
    <xdr:clientData/>
  </xdr:oneCellAnchor>
  <xdr:oneCellAnchor>
    <xdr:from>
      <xdr:col>1</xdr:col>
      <xdr:colOff>304800</xdr:colOff>
      <xdr:row>28</xdr:row>
      <xdr:rowOff>180975</xdr:rowOff>
    </xdr:from>
    <xdr:ext cx="8172450" cy="273685"/>
    <xdr:sp>
      <xdr:nvSpPr>
        <xdr:cNvPr id="12" name="Текстовое поле 11"/>
        <xdr:cNvSpPr txBox="1"/>
      </xdr:nvSpPr>
      <xdr:spPr>
        <a:xfrm>
          <a:off x="962025" y="5591175"/>
          <a:ext cx="8172450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ВТОРОЕ - Построить по (1.2) ФС как степенную связь между объемом спроса, доходом потребителя и ценой приобретаемого товара. </a:t>
          </a:r>
          <a:endParaRPr lang="ru-RU" altLang="en-US" sz="1100"/>
        </a:p>
      </xdr:txBody>
    </xdr:sp>
    <xdr:clientData/>
  </xdr:oneCellAnchor>
  <xdr:oneCellAnchor>
    <xdr:from>
      <xdr:col>1</xdr:col>
      <xdr:colOff>123825</xdr:colOff>
      <xdr:row>33</xdr:row>
      <xdr:rowOff>133350</xdr:rowOff>
    </xdr:from>
    <xdr:ext cx="11135995" cy="456565"/>
    <xdr:sp>
      <xdr:nvSpPr>
        <xdr:cNvPr id="13" name="Текстовое поле 12"/>
        <xdr:cNvSpPr txBox="1"/>
      </xdr:nvSpPr>
      <xdr:spPr>
        <a:xfrm>
          <a:off x="781050" y="6543675"/>
          <a:ext cx="11135995" cy="45656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ПЯТОЕ- Задать 3 новых значения параметров-аргументов (D, s), сравнимые по абсолютному значению с соответствующими исходными данными 24-го месяца, и на базе построенной </a:t>
          </a:r>
          <a:endParaRPr lang="ru-RU" altLang="en-US" sz="1100"/>
        </a:p>
        <a:p>
          <a:pPr algn="l"/>
          <a:r>
            <a:rPr lang="ru-RU" altLang="en-US" sz="1100"/>
            <a:t>ФС рассчитать значения параметра-функции С на 1-й квартал (месяцы №1, № 2, № 3) планового года</a:t>
          </a:r>
          <a:endParaRPr lang="ru-RU" altLang="en-US" sz="1100"/>
        </a:p>
      </xdr:txBody>
    </xdr:sp>
    <xdr:clientData/>
  </xdr:oneCellAnchor>
  <xdr:oneCellAnchor>
    <xdr:from>
      <xdr:col>1</xdr:col>
      <xdr:colOff>123825</xdr:colOff>
      <xdr:row>101</xdr:row>
      <xdr:rowOff>85725</xdr:rowOff>
    </xdr:from>
    <xdr:ext cx="8172450" cy="456565"/>
    <xdr:sp>
      <xdr:nvSpPr>
        <xdr:cNvPr id="15" name="Текстовое поле 14"/>
        <xdr:cNvSpPr txBox="1"/>
      </xdr:nvSpPr>
      <xdr:spPr>
        <a:xfrm>
          <a:off x="781050" y="20097750"/>
          <a:ext cx="8172450" cy="45656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>
              <a:sym typeface="+mn-ea"/>
            </a:rPr>
            <a:t>ВТОРОЕ - Построить по (1.2) ФС как степенную связь между объемом спроса, доходом потребителя и ценой приобретаемого товара. </a:t>
          </a:r>
          <a:endParaRPr lang="ru-RU" altLang="en-US" sz="1100"/>
        </a:p>
        <a:p>
          <a:pPr algn="l"/>
          <a:endParaRPr lang="ru-RU" altLang="en-US" sz="1100"/>
        </a:p>
      </xdr:txBody>
    </xdr:sp>
    <xdr:clientData/>
  </xdr:oneCellAnchor>
  <xdr:oneCellAnchor>
    <xdr:from>
      <xdr:col>1</xdr:col>
      <xdr:colOff>29210</xdr:colOff>
      <xdr:row>108</xdr:row>
      <xdr:rowOff>152400</xdr:rowOff>
    </xdr:from>
    <xdr:ext cx="11260455" cy="456565"/>
    <xdr:sp>
      <xdr:nvSpPr>
        <xdr:cNvPr id="16" name="Текстовое поле 15"/>
        <xdr:cNvSpPr txBox="1"/>
      </xdr:nvSpPr>
      <xdr:spPr>
        <a:xfrm>
          <a:off x="686435" y="21564600"/>
          <a:ext cx="11260455" cy="45656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ТРЕТЬЕ - Найти коэффициенты предельной эффективности спроса по цене и доходу При расчетах использовать среднеарифметические эффективности спроса по цене,</a:t>
          </a:r>
          <a:endParaRPr lang="ru-RU" altLang="en-US" sz="1100"/>
        </a:p>
        <a:p>
          <a:pPr algn="l"/>
          <a:r>
            <a:rPr lang="ru-RU" altLang="en-US" sz="1100"/>
            <a:t> доходу и их коэффициенты эластичности. На основании полученных значений коэффициентов предельной эффективности спроса провести оценку значимости товара для потребителя.</a:t>
          </a:r>
          <a:endParaRPr lang="ru-RU" altLang="en-US" sz="1100"/>
        </a:p>
      </xdr:txBody>
    </xdr:sp>
    <xdr:clientData/>
  </xdr:oneCellAnchor>
  <xdr:oneCellAnchor>
    <xdr:from>
      <xdr:col>1</xdr:col>
      <xdr:colOff>76200</xdr:colOff>
      <xdr:row>114</xdr:row>
      <xdr:rowOff>123825</xdr:rowOff>
    </xdr:from>
    <xdr:ext cx="4134485" cy="273685"/>
    <xdr:sp>
      <xdr:nvSpPr>
        <xdr:cNvPr id="17" name="Текстовое поле 16"/>
        <xdr:cNvSpPr txBox="1"/>
      </xdr:nvSpPr>
      <xdr:spPr>
        <a:xfrm>
          <a:off x="733425" y="22736175"/>
          <a:ext cx="4134485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Находим средние значения (расчет предельных эффективностей )</a:t>
          </a:r>
          <a:endParaRPr lang="ru-RU" altLang="en-US" sz="1100"/>
        </a:p>
      </xdr:txBody>
    </xdr:sp>
    <xdr:clientData/>
  </xdr:oneCellAnchor>
  <xdr:oneCellAnchor>
    <xdr:from>
      <xdr:col>1</xdr:col>
      <xdr:colOff>219075</xdr:colOff>
      <xdr:row>123</xdr:row>
      <xdr:rowOff>114300</xdr:rowOff>
    </xdr:from>
    <xdr:ext cx="5789930" cy="456565"/>
    <xdr:sp>
      <xdr:nvSpPr>
        <xdr:cNvPr id="18" name="Текстовое поле 17"/>
        <xdr:cNvSpPr txBox="1"/>
      </xdr:nvSpPr>
      <xdr:spPr>
        <a:xfrm>
          <a:off x="876300" y="24526875"/>
          <a:ext cx="5789930" cy="45656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ЧЕТВЁРТОЕ - Объяснить экономический смысл коэффициентов эластичности спроса по цене и</a:t>
          </a:r>
          <a:endParaRPr lang="ru-RU" altLang="en-US" sz="1100"/>
        </a:p>
        <a:p>
          <a:pPr algn="l"/>
          <a:r>
            <a:rPr lang="ru-RU" altLang="en-US" sz="1100"/>
            <a:t>доходу, влияние динамики дохода и цены на динамику спроса.</a:t>
          </a:r>
          <a:endParaRPr lang="ru-RU" altLang="en-US" sz="1100"/>
        </a:p>
      </xdr:txBody>
    </xdr:sp>
    <xdr:clientData/>
  </xdr:oneCellAnchor>
  <xdr:oneCellAnchor>
    <xdr:from>
      <xdr:col>1</xdr:col>
      <xdr:colOff>143510</xdr:colOff>
      <xdr:row>126</xdr:row>
      <xdr:rowOff>85725</xdr:rowOff>
    </xdr:from>
    <xdr:ext cx="5690870" cy="273685"/>
    <xdr:sp>
      <xdr:nvSpPr>
        <xdr:cNvPr id="19" name="Текстовое поле 18"/>
        <xdr:cNvSpPr txBox="1"/>
      </xdr:nvSpPr>
      <xdr:spPr>
        <a:xfrm>
          <a:off x="800735" y="25098375"/>
          <a:ext cx="5690870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Эластичность спроса по цене показывает величину изменения спроса при росте цены на 1%</a:t>
          </a:r>
          <a:endParaRPr lang="ru-RU" altLang="en-US" sz="1100"/>
        </a:p>
      </xdr:txBody>
    </xdr:sp>
    <xdr:clientData/>
  </xdr:oneCellAnchor>
  <xdr:oneCellAnchor>
    <xdr:from>
      <xdr:col>0</xdr:col>
      <xdr:colOff>609600</xdr:colOff>
      <xdr:row>142</xdr:row>
      <xdr:rowOff>104775</xdr:rowOff>
    </xdr:from>
    <xdr:ext cx="9880600" cy="639445"/>
    <xdr:sp>
      <xdr:nvSpPr>
        <xdr:cNvPr id="21" name="Текстовое поле 20"/>
        <xdr:cNvSpPr txBox="1"/>
      </xdr:nvSpPr>
      <xdr:spPr>
        <a:xfrm>
          <a:off x="609600" y="28317825"/>
          <a:ext cx="9880600" cy="63944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Вывод</a:t>
          </a:r>
          <a:r>
            <a:rPr lang="en-US" altLang="ru-RU" sz="1100"/>
            <a:t>:</a:t>
          </a:r>
          <a:endParaRPr lang="ru-RU" altLang="en-US" sz="1100"/>
        </a:p>
        <a:p>
          <a:pPr algn="l"/>
          <a:r>
            <a:rPr lang="ru-RU" altLang="en-US" sz="1100"/>
            <a:t>Товар является неэластичным по цене (спрос слабо реагирует на изменение цены, потребители продолжают покупать товар даже при её росте). </a:t>
          </a:r>
          <a:endParaRPr lang="ru-RU" altLang="en-US" sz="1100"/>
        </a:p>
        <a:p>
          <a:pPr algn="l"/>
          <a:r>
            <a:rPr lang="ru-RU" altLang="en-US" sz="1100"/>
            <a:t>По доходу товар является низкокачественным, поскольку при росте доходов потребители сокращают его потребление, предпочитая более качественные товары.</a:t>
          </a:r>
          <a:endParaRPr lang="ru-RU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00"/>
  <sheetViews>
    <sheetView tabSelected="1" topLeftCell="A109" workbookViewId="0">
      <selection activeCell="I122" sqref="I122"/>
    </sheetView>
  </sheetViews>
  <sheetFormatPr defaultColWidth="14.4285714285714" defaultRowHeight="15" customHeight="1"/>
  <cols>
    <col min="1" max="1" width="9.85714285714286" style="1" customWidth="1"/>
    <col min="2" max="2" width="27" style="1" customWidth="1"/>
    <col min="3" max="3" width="30.5714285714286" style="1" customWidth="1"/>
    <col min="4" max="5" width="19.4285714285714" style="1" customWidth="1"/>
    <col min="6" max="6" width="20.8571428571429" style="1" customWidth="1"/>
    <col min="7" max="7" width="21.7142857142857" style="1" customWidth="1"/>
    <col min="8" max="8" width="25.7142857142857" style="1" customWidth="1"/>
    <col min="9" max="9" width="24.8571428571429" style="1" customWidth="1"/>
    <col min="10" max="17" width="21.7142857142857" style="1" customWidth="1"/>
    <col min="18" max="26" width="8.71428571428571" style="1" customWidth="1"/>
    <col min="27" max="16384" width="14.4285714285714" style="1"/>
  </cols>
  <sheetData>
    <row r="1" spans="2:2">
      <c r="B1" s="2"/>
    </row>
    <row r="2" spans="2:17">
      <c r="B2" s="3" t="s">
        <v>0</v>
      </c>
      <c r="C2" s="4"/>
      <c r="D2" s="4"/>
      <c r="E2" s="4"/>
      <c r="F2" s="4"/>
      <c r="G2" s="5" t="s">
        <v>1</v>
      </c>
      <c r="H2" s="4"/>
      <c r="I2" s="5"/>
      <c r="J2" s="56"/>
      <c r="K2" s="4"/>
      <c r="L2" s="4"/>
      <c r="M2" s="4"/>
      <c r="N2" s="4"/>
      <c r="O2" s="4"/>
      <c r="P2" s="4"/>
      <c r="Q2" s="56">
        <v>2</v>
      </c>
    </row>
    <row r="3" spans="2:17">
      <c r="B3" s="4"/>
      <c r="C3" s="6" t="s">
        <v>2</v>
      </c>
      <c r="D3" s="6" t="s">
        <v>3</v>
      </c>
      <c r="E3" s="6" t="s">
        <v>4</v>
      </c>
      <c r="F3" s="4"/>
      <c r="G3" s="7" t="s">
        <v>5</v>
      </c>
      <c r="H3" s="8"/>
      <c r="I3" s="57"/>
      <c r="J3" s="58"/>
      <c r="K3" s="4"/>
      <c r="L3" s="4"/>
      <c r="M3" s="4"/>
      <c r="N3" s="4"/>
      <c r="O3" s="4"/>
      <c r="P3" s="4"/>
      <c r="Q3" s="58"/>
    </row>
    <row r="4" spans="2:17">
      <c r="B4" s="9" t="s">
        <v>6</v>
      </c>
      <c r="C4" s="9" t="s">
        <v>7</v>
      </c>
      <c r="D4" s="9" t="s">
        <v>8</v>
      </c>
      <c r="E4" s="9" t="s">
        <v>9</v>
      </c>
      <c r="F4" s="10" t="s">
        <v>10</v>
      </c>
      <c r="G4" s="11" t="s">
        <v>11</v>
      </c>
      <c r="H4" s="11" t="s">
        <v>12</v>
      </c>
      <c r="I4" s="11" t="s">
        <v>13</v>
      </c>
      <c r="J4" s="11" t="s">
        <v>14</v>
      </c>
      <c r="K4" s="11" t="s">
        <v>15</v>
      </c>
      <c r="L4" s="11" t="s">
        <v>16</v>
      </c>
      <c r="M4" s="11" t="s">
        <v>17</v>
      </c>
      <c r="N4" s="11" t="s">
        <v>18</v>
      </c>
      <c r="O4" s="11" t="s">
        <v>19</v>
      </c>
      <c r="P4" s="11" t="s">
        <v>20</v>
      </c>
      <c r="Q4" s="11" t="s">
        <v>21</v>
      </c>
    </row>
    <row r="5" spans="2:17">
      <c r="B5" s="12">
        <v>1</v>
      </c>
      <c r="C5" s="12">
        <v>270</v>
      </c>
      <c r="D5" s="12">
        <v>97950</v>
      </c>
      <c r="E5" s="13">
        <v>25800</v>
      </c>
      <c r="F5" s="10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</row>
    <row r="6" spans="2:17">
      <c r="B6" s="12">
        <v>2</v>
      </c>
      <c r="C6" s="12">
        <v>270</v>
      </c>
      <c r="D6" s="12">
        <v>98350</v>
      </c>
      <c r="E6" s="13">
        <v>25875</v>
      </c>
      <c r="F6" s="10" t="s">
        <v>22</v>
      </c>
      <c r="G6" s="15">
        <f t="shared" ref="G6:I6" si="0">AVERAGE(C5:C7)</f>
        <v>260</v>
      </c>
      <c r="H6" s="15">
        <f t="shared" si="0"/>
        <v>104200</v>
      </c>
      <c r="I6" s="15">
        <f t="shared" si="0"/>
        <v>25891.6666666667</v>
      </c>
      <c r="J6" s="15">
        <f t="shared" ref="J6:L6" si="1">LN(G6)</f>
        <v>5.56068163101553</v>
      </c>
      <c r="K6" s="15">
        <f t="shared" si="1"/>
        <v>11.5540674083014</v>
      </c>
      <c r="L6" s="15">
        <f t="shared" si="1"/>
        <v>10.1616764455931</v>
      </c>
      <c r="M6" s="15">
        <f t="shared" ref="M6:M27" si="2">L6*L6</f>
        <v>103.259668184922</v>
      </c>
      <c r="N6" s="15">
        <f t="shared" ref="N6:N27" si="3">J6*J6</f>
        <v>30.9211802015135</v>
      </c>
      <c r="O6" s="15">
        <f t="shared" ref="O6:O27" si="4">L6*J6</f>
        <v>56.5058475513329</v>
      </c>
      <c r="P6" s="15">
        <f t="shared" ref="P6:P27" si="5">K6*L6</f>
        <v>117.408694633732</v>
      </c>
      <c r="Q6" s="15">
        <f t="shared" ref="Q6:Q27" si="6">K6*J6</f>
        <v>64.2484904008568</v>
      </c>
    </row>
    <row r="7" spans="2:17">
      <c r="B7" s="12">
        <v>3</v>
      </c>
      <c r="C7" s="12">
        <v>240</v>
      </c>
      <c r="D7" s="13">
        <v>116300</v>
      </c>
      <c r="E7" s="13">
        <v>26000</v>
      </c>
      <c r="F7" s="10" t="s">
        <v>23</v>
      </c>
      <c r="G7" s="15">
        <f t="shared" ref="G7:I7" si="7">AVERAGE(C6:C8)</f>
        <v>250</v>
      </c>
      <c r="H7" s="15">
        <f t="shared" si="7"/>
        <v>110323.333333333</v>
      </c>
      <c r="I7" s="15">
        <f t="shared" si="7"/>
        <v>25958.3333333333</v>
      </c>
      <c r="J7" s="15">
        <f t="shared" ref="J7:L7" si="8">LN(G7)</f>
        <v>5.52146091786225</v>
      </c>
      <c r="K7" s="15">
        <f t="shared" si="8"/>
        <v>11.6111707271425</v>
      </c>
      <c r="L7" s="15">
        <f t="shared" si="8"/>
        <v>10.1642479674216</v>
      </c>
      <c r="M7" s="15">
        <f t="shared" si="2"/>
        <v>103.311936743235</v>
      </c>
      <c r="N7" s="15">
        <f t="shared" si="3"/>
        <v>30.4865306674802</v>
      </c>
      <c r="O7" s="15">
        <f t="shared" si="4"/>
        <v>56.1214979115794</v>
      </c>
      <c r="P7" s="15">
        <f t="shared" si="5"/>
        <v>118.018818462743</v>
      </c>
      <c r="Q7" s="15">
        <f t="shared" si="6"/>
        <v>64.1106253805432</v>
      </c>
    </row>
    <row r="8" spans="2:17">
      <c r="B8" s="12">
        <v>4</v>
      </c>
      <c r="C8" s="12">
        <v>240</v>
      </c>
      <c r="D8" s="13">
        <v>116320</v>
      </c>
      <c r="E8" s="13">
        <v>26000</v>
      </c>
      <c r="F8" s="10" t="s">
        <v>24</v>
      </c>
      <c r="G8" s="15">
        <f t="shared" ref="G8:I8" si="9">AVERAGE(C7:C9)</f>
        <v>259.333333333333</v>
      </c>
      <c r="H8" s="15">
        <f t="shared" si="9"/>
        <v>138140</v>
      </c>
      <c r="I8" s="15">
        <f t="shared" si="9"/>
        <v>26133.3333333333</v>
      </c>
      <c r="J8" s="15">
        <f t="shared" ref="J8:L8" si="10">LN(G8)</f>
        <v>5.55811423551028</v>
      </c>
      <c r="K8" s="15">
        <f t="shared" si="10"/>
        <v>11.836022942643</v>
      </c>
      <c r="L8" s="15">
        <f t="shared" si="10"/>
        <v>10.1709669176704</v>
      </c>
      <c r="M8" s="15">
        <f t="shared" si="2"/>
        <v>103.448568040346</v>
      </c>
      <c r="N8" s="15">
        <f t="shared" si="3"/>
        <v>30.892633854982</v>
      </c>
      <c r="O8" s="15">
        <f t="shared" si="4"/>
        <v>56.5313960140079</v>
      </c>
      <c r="P8" s="15">
        <f t="shared" si="5"/>
        <v>120.383797786409</v>
      </c>
      <c r="Q8" s="15">
        <f t="shared" si="6"/>
        <v>65.7859676093302</v>
      </c>
    </row>
    <row r="9" spans="2:17">
      <c r="B9" s="12">
        <v>5</v>
      </c>
      <c r="C9" s="12">
        <v>298</v>
      </c>
      <c r="D9" s="13">
        <v>181800</v>
      </c>
      <c r="E9" s="13">
        <v>26400</v>
      </c>
      <c r="F9" s="10" t="s">
        <v>25</v>
      </c>
      <c r="G9" s="15">
        <f t="shared" ref="G9:I9" si="11">AVERAGE(C8:C10)</f>
        <v>266</v>
      </c>
      <c r="H9" s="15">
        <f t="shared" si="11"/>
        <v>173040</v>
      </c>
      <c r="I9" s="15">
        <f t="shared" si="11"/>
        <v>26533.3333333333</v>
      </c>
      <c r="J9" s="15">
        <f t="shared" ref="J9:L9" si="12">LN(G9)</f>
        <v>5.5834963087817</v>
      </c>
      <c r="K9" s="15">
        <f t="shared" si="12"/>
        <v>12.0612780606269</v>
      </c>
      <c r="L9" s="15">
        <f t="shared" si="12"/>
        <v>10.1861570831644</v>
      </c>
      <c r="M9" s="15">
        <f t="shared" si="2"/>
        <v>103.7577961229</v>
      </c>
      <c r="N9" s="15">
        <f t="shared" si="3"/>
        <v>31.1754310301789</v>
      </c>
      <c r="O9" s="15">
        <f t="shared" si="4"/>
        <v>56.8743704745188</v>
      </c>
      <c r="P9" s="15">
        <f t="shared" si="5"/>
        <v>122.85807294927</v>
      </c>
      <c r="Q9" s="15">
        <f t="shared" si="6"/>
        <v>67.3441015307002</v>
      </c>
    </row>
    <row r="10" spans="2:17">
      <c r="B10" s="12">
        <v>6</v>
      </c>
      <c r="C10" s="12">
        <v>260</v>
      </c>
      <c r="D10" s="13">
        <v>221000</v>
      </c>
      <c r="E10" s="13">
        <v>27200</v>
      </c>
      <c r="F10" s="10" t="s">
        <v>26</v>
      </c>
      <c r="G10" s="15">
        <f t="shared" ref="G10:I10" si="13">AVERAGE(C9:C11)</f>
        <v>272.666666666667</v>
      </c>
      <c r="H10" s="15">
        <f t="shared" si="13"/>
        <v>226283.333333333</v>
      </c>
      <c r="I10" s="15">
        <f t="shared" si="13"/>
        <v>26950</v>
      </c>
      <c r="J10" s="15">
        <f t="shared" ref="J10:L10" si="14">LN(G10)</f>
        <v>5.60825004793464</v>
      </c>
      <c r="K10" s="15">
        <f t="shared" si="14"/>
        <v>12.3295431803603</v>
      </c>
      <c r="L10" s="15">
        <f t="shared" si="14"/>
        <v>10.2017385763371</v>
      </c>
      <c r="M10" s="15">
        <f t="shared" si="2"/>
        <v>104.075469979925</v>
      </c>
      <c r="N10" s="15">
        <f t="shared" si="3"/>
        <v>31.4524686001589</v>
      </c>
      <c r="O10" s="15">
        <f t="shared" si="4"/>
        <v>57.2139008597594</v>
      </c>
      <c r="P10" s="15">
        <f t="shared" si="5"/>
        <v>125.782776291696</v>
      </c>
      <c r="Q10" s="15">
        <f t="shared" si="6"/>
        <v>69.1471611322679</v>
      </c>
    </row>
    <row r="11" spans="2:17">
      <c r="B11" s="12">
        <v>7</v>
      </c>
      <c r="C11" s="12">
        <v>260</v>
      </c>
      <c r="D11" s="13">
        <v>276050</v>
      </c>
      <c r="E11" s="13">
        <v>27250</v>
      </c>
      <c r="F11" s="10" t="s">
        <v>27</v>
      </c>
      <c r="G11" s="15">
        <f t="shared" ref="G11:I11" si="15">AVERAGE(C10:C12)</f>
        <v>260</v>
      </c>
      <c r="H11" s="15">
        <f t="shared" si="15"/>
        <v>262560</v>
      </c>
      <c r="I11" s="15">
        <f t="shared" si="15"/>
        <v>27241.6666666667</v>
      </c>
      <c r="J11" s="15">
        <f t="shared" ref="J11:L11" si="16">LN(G11)</f>
        <v>5.56068163101553</v>
      </c>
      <c r="K11" s="15">
        <f t="shared" si="16"/>
        <v>12.4782349063239</v>
      </c>
      <c r="L11" s="15">
        <f t="shared" si="16"/>
        <v>10.2125029429243</v>
      </c>
      <c r="M11" s="15">
        <f t="shared" si="2"/>
        <v>104.295216359238</v>
      </c>
      <c r="N11" s="15">
        <f t="shared" si="3"/>
        <v>30.9211802015135</v>
      </c>
      <c r="O11" s="15">
        <f t="shared" si="4"/>
        <v>56.7884775214112</v>
      </c>
      <c r="P11" s="15">
        <f t="shared" si="5"/>
        <v>127.434010703334</v>
      </c>
      <c r="Q11" s="15">
        <f t="shared" si="6"/>
        <v>69.3874916310922</v>
      </c>
    </row>
    <row r="12" spans="2:17">
      <c r="B12" s="12">
        <v>8</v>
      </c>
      <c r="C12" s="12">
        <v>260</v>
      </c>
      <c r="D12" s="13">
        <v>290630</v>
      </c>
      <c r="E12" s="13">
        <v>27275</v>
      </c>
      <c r="F12" s="10" t="s">
        <v>28</v>
      </c>
      <c r="G12" s="15">
        <f t="shared" ref="G12:I12" si="17">AVERAGE(C11:C13)</f>
        <v>266.666666666667</v>
      </c>
      <c r="H12" s="15">
        <f t="shared" si="17"/>
        <v>266640</v>
      </c>
      <c r="I12" s="15">
        <f t="shared" si="17"/>
        <v>27275</v>
      </c>
      <c r="J12" s="15">
        <f t="shared" ref="J12:L12" si="18">LN(G12)</f>
        <v>5.58599943899982</v>
      </c>
      <c r="K12" s="15">
        <f t="shared" si="18"/>
        <v>12.4936547129816</v>
      </c>
      <c r="L12" s="15">
        <f t="shared" si="18"/>
        <v>10.2137258107013</v>
      </c>
      <c r="M12" s="15">
        <f t="shared" si="2"/>
        <v>104.320194936185</v>
      </c>
      <c r="N12" s="15">
        <f t="shared" si="3"/>
        <v>31.2033897325063</v>
      </c>
      <c r="O12" s="15">
        <f t="shared" si="4"/>
        <v>57.0538666486753</v>
      </c>
      <c r="P12" s="15">
        <f t="shared" si="5"/>
        <v>127.60676361197</v>
      </c>
      <c r="Q12" s="15">
        <f t="shared" si="6"/>
        <v>69.7895482177728</v>
      </c>
    </row>
    <row r="13" spans="2:17">
      <c r="B13" s="12">
        <v>9</v>
      </c>
      <c r="C13" s="12">
        <v>280</v>
      </c>
      <c r="D13" s="13">
        <v>233240</v>
      </c>
      <c r="E13" s="13">
        <v>27300</v>
      </c>
      <c r="F13" s="10" t="s">
        <v>29</v>
      </c>
      <c r="G13" s="15">
        <f t="shared" ref="G13:I13" si="19">AVERAGE(C12:C14)</f>
        <v>276.666666666667</v>
      </c>
      <c r="H13" s="15">
        <f t="shared" si="19"/>
        <v>253270</v>
      </c>
      <c r="I13" s="15">
        <f t="shared" si="19"/>
        <v>27291.6666666667</v>
      </c>
      <c r="J13" s="15">
        <f t="shared" ref="J13:L13" si="20">LN(G13)</f>
        <v>5.62281341212253</v>
      </c>
      <c r="K13" s="15">
        <f t="shared" si="20"/>
        <v>12.4422113923392</v>
      </c>
      <c r="L13" s="15">
        <f t="shared" si="20"/>
        <v>10.2143366842694</v>
      </c>
      <c r="M13" s="15">
        <f t="shared" si="2"/>
        <v>104.332673899612</v>
      </c>
      <c r="N13" s="15">
        <f t="shared" si="3"/>
        <v>31.6160306675451</v>
      </c>
      <c r="O13" s="15">
        <f t="shared" si="4"/>
        <v>57.4333093042454</v>
      </c>
      <c r="P13" s="15">
        <f t="shared" si="5"/>
        <v>127.088936258205</v>
      </c>
      <c r="Q13" s="15">
        <f t="shared" si="6"/>
        <v>69.9602330933086</v>
      </c>
    </row>
    <row r="14" spans="2:17">
      <c r="B14" s="12">
        <v>10</v>
      </c>
      <c r="C14" s="12">
        <v>290</v>
      </c>
      <c r="D14" s="13">
        <v>235940</v>
      </c>
      <c r="E14" s="13">
        <v>27300</v>
      </c>
      <c r="F14" s="10" t="s">
        <v>30</v>
      </c>
      <c r="G14" s="15">
        <f t="shared" ref="G14:I14" si="21">AVERAGE(C13:C15)</f>
        <v>286.666666666667</v>
      </c>
      <c r="H14" s="15">
        <f t="shared" si="21"/>
        <v>237566.666666667</v>
      </c>
      <c r="I14" s="15">
        <f t="shared" si="21"/>
        <v>27333.3333333333</v>
      </c>
      <c r="J14" s="15">
        <f t="shared" ref="J14:L14" si="22">LN(G14)</f>
        <v>5.65832010057944</v>
      </c>
      <c r="K14" s="15">
        <f t="shared" si="22"/>
        <v>12.3782035648219</v>
      </c>
      <c r="L14" s="15">
        <f t="shared" si="22"/>
        <v>10.2158622375783</v>
      </c>
      <c r="M14" s="15">
        <f t="shared" si="2"/>
        <v>104.363841257178</v>
      </c>
      <c r="N14" s="15">
        <f t="shared" si="3"/>
        <v>32.0165863606214</v>
      </c>
      <c r="O14" s="15">
        <f t="shared" si="4"/>
        <v>57.8046186436397</v>
      </c>
      <c r="P14" s="15">
        <f t="shared" si="5"/>
        <v>126.45402236692</v>
      </c>
      <c r="Q14" s="15">
        <f t="shared" si="6"/>
        <v>70.0398380398956</v>
      </c>
    </row>
    <row r="15" spans="2:17">
      <c r="B15" s="12">
        <v>11</v>
      </c>
      <c r="C15" s="12">
        <v>290</v>
      </c>
      <c r="D15" s="13">
        <v>243520</v>
      </c>
      <c r="E15" s="13">
        <v>27400</v>
      </c>
      <c r="F15" s="10" t="s">
        <v>31</v>
      </c>
      <c r="G15" s="15">
        <f t="shared" ref="G15:I15" si="23">AVERAGE(C14:C16)</f>
        <v>290</v>
      </c>
      <c r="H15" s="15">
        <f t="shared" si="23"/>
        <v>245483.333333333</v>
      </c>
      <c r="I15" s="15">
        <f t="shared" si="23"/>
        <v>27400</v>
      </c>
      <c r="J15" s="15">
        <f t="shared" ref="J15:L15" si="24">LN(G15)</f>
        <v>5.66988092298052</v>
      </c>
      <c r="K15" s="15">
        <f t="shared" si="24"/>
        <v>12.4109843352496</v>
      </c>
      <c r="L15" s="15">
        <f t="shared" si="24"/>
        <v>10.2182982923762</v>
      </c>
      <c r="M15" s="15">
        <f t="shared" si="2"/>
        <v>104.413619991978</v>
      </c>
      <c r="N15" s="15">
        <f t="shared" si="3"/>
        <v>32.1475496807784</v>
      </c>
      <c r="O15" s="15">
        <f t="shared" si="4"/>
        <v>57.936534553268</v>
      </c>
      <c r="P15" s="15">
        <f t="shared" si="5"/>
        <v>126.819140039588</v>
      </c>
      <c r="Q15" s="15">
        <f t="shared" si="6"/>
        <v>70.3688033178417</v>
      </c>
    </row>
    <row r="16" spans="2:17">
      <c r="B16" s="12">
        <v>12</v>
      </c>
      <c r="C16" s="12">
        <v>290</v>
      </c>
      <c r="D16" s="13">
        <v>256990</v>
      </c>
      <c r="E16" s="13">
        <v>27500</v>
      </c>
      <c r="F16" s="10" t="s">
        <v>32</v>
      </c>
      <c r="G16" s="15">
        <f t="shared" ref="G16:I16" si="25">AVERAGE(C15:C17)</f>
        <v>276.666666666667</v>
      </c>
      <c r="H16" s="15">
        <f t="shared" si="25"/>
        <v>251530</v>
      </c>
      <c r="I16" s="15">
        <f t="shared" si="25"/>
        <v>27466.6666666667</v>
      </c>
      <c r="J16" s="15">
        <f t="shared" ref="J16:L16" si="26">LN(G16)</f>
        <v>5.62281341212253</v>
      </c>
      <c r="K16" s="15">
        <f t="shared" si="26"/>
        <v>12.4353175457024</v>
      </c>
      <c r="L16" s="15">
        <f t="shared" si="26"/>
        <v>10.2207284272295</v>
      </c>
      <c r="M16" s="15">
        <f t="shared" si="2"/>
        <v>104.463289583176</v>
      </c>
      <c r="N16" s="15">
        <f t="shared" si="3"/>
        <v>31.6160306675451</v>
      </c>
      <c r="O16" s="15">
        <f t="shared" si="4"/>
        <v>57.4692488822878</v>
      </c>
      <c r="P16" s="15">
        <f t="shared" si="5"/>
        <v>127.098003540985</v>
      </c>
      <c r="Q16" s="15">
        <f t="shared" si="6"/>
        <v>69.9214702799779</v>
      </c>
    </row>
    <row r="17" spans="2:17">
      <c r="B17" s="12">
        <v>13</v>
      </c>
      <c r="C17" s="12">
        <v>250</v>
      </c>
      <c r="D17" s="13">
        <v>254080</v>
      </c>
      <c r="E17" s="13">
        <v>27500</v>
      </c>
      <c r="F17" s="10" t="s">
        <v>33</v>
      </c>
      <c r="G17" s="15">
        <f t="shared" ref="G17:I17" si="27">AVERAGE(C16:C18)</f>
        <v>263.333333333333</v>
      </c>
      <c r="H17" s="15">
        <f t="shared" si="27"/>
        <v>257510</v>
      </c>
      <c r="I17" s="15">
        <f t="shared" si="27"/>
        <v>27666.6666666667</v>
      </c>
      <c r="J17" s="15">
        <f t="shared" ref="J17:L17" si="28">LN(G17)</f>
        <v>5.57342065679296</v>
      </c>
      <c r="K17" s="15">
        <f t="shared" si="28"/>
        <v>12.4588138332833</v>
      </c>
      <c r="L17" s="15">
        <f t="shared" si="28"/>
        <v>10.2279835981106</v>
      </c>
      <c r="M17" s="15">
        <f t="shared" si="2"/>
        <v>104.61164848322</v>
      </c>
      <c r="N17" s="15">
        <f t="shared" si="3"/>
        <v>31.0630178175664</v>
      </c>
      <c r="O17" s="15">
        <f t="shared" si="4"/>
        <v>57.0048550630493</v>
      </c>
      <c r="P17" s="15">
        <f t="shared" si="5"/>
        <v>127.428543538736</v>
      </c>
      <c r="Q17" s="15">
        <f t="shared" si="6"/>
        <v>69.4382103775591</v>
      </c>
    </row>
    <row r="18" spans="2:17">
      <c r="B18" s="12">
        <v>14</v>
      </c>
      <c r="C18" s="12">
        <v>250</v>
      </c>
      <c r="D18" s="13">
        <v>261460</v>
      </c>
      <c r="E18" s="13">
        <v>28000</v>
      </c>
      <c r="F18" s="10" t="s">
        <v>34</v>
      </c>
      <c r="G18" s="15">
        <f t="shared" ref="G18:I18" si="29">AVERAGE(C17:C19)</f>
        <v>250</v>
      </c>
      <c r="H18" s="15">
        <f t="shared" si="29"/>
        <v>259583.333333333</v>
      </c>
      <c r="I18" s="15">
        <f t="shared" si="29"/>
        <v>27833.3333333333</v>
      </c>
      <c r="J18" s="15">
        <f t="shared" ref="J18:L18" si="30">LN(G18)</f>
        <v>5.52146091786225</v>
      </c>
      <c r="K18" s="15">
        <f t="shared" si="30"/>
        <v>12.4668330604157</v>
      </c>
      <c r="L18" s="15">
        <f t="shared" si="30"/>
        <v>10.2339896221708</v>
      </c>
      <c r="M18" s="15">
        <f t="shared" si="2"/>
        <v>104.7345435867</v>
      </c>
      <c r="N18" s="15">
        <f t="shared" si="3"/>
        <v>30.4865306674802</v>
      </c>
      <c r="O18" s="15">
        <f t="shared" si="4"/>
        <v>56.5065737326241</v>
      </c>
      <c r="P18" s="15">
        <f t="shared" si="5"/>
        <v>127.58544016163</v>
      </c>
      <c r="Q18" s="15">
        <f t="shared" si="6"/>
        <v>68.8351315125982</v>
      </c>
    </row>
    <row r="19" spans="2:17">
      <c r="B19" s="12">
        <v>15</v>
      </c>
      <c r="C19" s="12">
        <v>250</v>
      </c>
      <c r="D19" s="13">
        <v>263210</v>
      </c>
      <c r="E19" s="13">
        <v>28000</v>
      </c>
      <c r="F19" s="10" t="s">
        <v>35</v>
      </c>
      <c r="G19" s="15">
        <f t="shared" ref="G19:I19" si="31">AVERAGE(C18:C20)</f>
        <v>250</v>
      </c>
      <c r="H19" s="15">
        <f t="shared" si="31"/>
        <v>264456.666666667</v>
      </c>
      <c r="I19" s="15">
        <f t="shared" si="31"/>
        <v>28000</v>
      </c>
      <c r="J19" s="15">
        <f t="shared" ref="J19:L19" si="32">LN(G19)</f>
        <v>5.52146091786225</v>
      </c>
      <c r="K19" s="15">
        <f t="shared" si="32"/>
        <v>12.4854326857308</v>
      </c>
      <c r="L19" s="15">
        <f t="shared" si="32"/>
        <v>10.2399597891573</v>
      </c>
      <c r="M19" s="15">
        <f t="shared" si="2"/>
        <v>104.856776483559</v>
      </c>
      <c r="N19" s="15">
        <f t="shared" si="3"/>
        <v>30.4865306674802</v>
      </c>
      <c r="O19" s="15">
        <f t="shared" si="4"/>
        <v>56.5395377763132</v>
      </c>
      <c r="P19" s="15">
        <f t="shared" si="5"/>
        <v>127.850328652114</v>
      </c>
      <c r="Q19" s="15">
        <f t="shared" si="6"/>
        <v>68.9378286168624</v>
      </c>
    </row>
    <row r="20" spans="2:17">
      <c r="B20" s="12">
        <v>16</v>
      </c>
      <c r="C20" s="12">
        <v>250</v>
      </c>
      <c r="D20" s="13">
        <v>268700</v>
      </c>
      <c r="E20" s="13">
        <v>28000</v>
      </c>
      <c r="F20" s="10" t="s">
        <v>36</v>
      </c>
      <c r="G20" s="15">
        <f t="shared" ref="G20:I20" si="33">AVERAGE(C19:C21)</f>
        <v>250</v>
      </c>
      <c r="H20" s="15">
        <f t="shared" si="33"/>
        <v>270176.666666667</v>
      </c>
      <c r="I20" s="15">
        <f t="shared" si="33"/>
        <v>28000</v>
      </c>
      <c r="J20" s="15">
        <f t="shared" ref="J20:L20" si="34">LN(G20)</f>
        <v>5.52146091786225</v>
      </c>
      <c r="K20" s="15">
        <f t="shared" si="34"/>
        <v>12.5068313449935</v>
      </c>
      <c r="L20" s="15">
        <f t="shared" si="34"/>
        <v>10.2399597891573</v>
      </c>
      <c r="M20" s="15">
        <f t="shared" si="2"/>
        <v>104.856776483559</v>
      </c>
      <c r="N20" s="15">
        <f t="shared" si="3"/>
        <v>30.4865306674802</v>
      </c>
      <c r="O20" s="15">
        <f t="shared" si="4"/>
        <v>56.5395377763132</v>
      </c>
      <c r="P20" s="15">
        <f t="shared" si="5"/>
        <v>128.069450062506</v>
      </c>
      <c r="Q20" s="15">
        <f t="shared" si="6"/>
        <v>69.0559804776762</v>
      </c>
    </row>
    <row r="21" ht="15.75" customHeight="1" spans="2:17">
      <c r="B21" s="12">
        <v>17</v>
      </c>
      <c r="C21" s="12">
        <v>250</v>
      </c>
      <c r="D21" s="13">
        <v>278620</v>
      </c>
      <c r="E21" s="13">
        <v>28000</v>
      </c>
      <c r="F21" s="10" t="s">
        <v>37</v>
      </c>
      <c r="G21" s="15">
        <f t="shared" ref="G21:I21" si="35">AVERAGE(C20:C22)</f>
        <v>256</v>
      </c>
      <c r="H21" s="15">
        <f t="shared" si="35"/>
        <v>276430</v>
      </c>
      <c r="I21" s="15">
        <f t="shared" si="35"/>
        <v>28000</v>
      </c>
      <c r="J21" s="15">
        <f t="shared" ref="J21:L21" si="36">LN(G21)</f>
        <v>5.54517744447956</v>
      </c>
      <c r="K21" s="15">
        <f t="shared" si="36"/>
        <v>12.529712903336</v>
      </c>
      <c r="L21" s="15">
        <f t="shared" si="36"/>
        <v>10.2399597891573</v>
      </c>
      <c r="M21" s="15">
        <f t="shared" si="2"/>
        <v>104.856776483559</v>
      </c>
      <c r="N21" s="15">
        <f t="shared" si="3"/>
        <v>30.7489928907649</v>
      </c>
      <c r="O21" s="15">
        <f t="shared" si="4"/>
        <v>56.782394055213</v>
      </c>
      <c r="P21" s="15">
        <f t="shared" si="5"/>
        <v>128.303756299847</v>
      </c>
      <c r="Q21" s="15">
        <f t="shared" si="6"/>
        <v>69.4794813773834</v>
      </c>
    </row>
    <row r="22" ht="15.75" customHeight="1" spans="2:17">
      <c r="B22" s="12">
        <v>18</v>
      </c>
      <c r="C22" s="12">
        <v>268</v>
      </c>
      <c r="D22" s="13">
        <v>281970</v>
      </c>
      <c r="E22" s="13">
        <v>28000</v>
      </c>
      <c r="F22" s="10" t="s">
        <v>38</v>
      </c>
      <c r="G22" s="15">
        <f t="shared" ref="G22:I22" si="37">AVERAGE(C21:C23)</f>
        <v>272.666666666667</v>
      </c>
      <c r="H22" s="15">
        <f t="shared" si="37"/>
        <v>282813.333333333</v>
      </c>
      <c r="I22" s="15">
        <f t="shared" si="37"/>
        <v>28333.3333333333</v>
      </c>
      <c r="J22" s="15">
        <f t="shared" ref="J22:L22" si="38">LN(G22)</f>
        <v>5.60825004793464</v>
      </c>
      <c r="K22" s="15">
        <f t="shared" si="38"/>
        <v>12.552542359465</v>
      </c>
      <c r="L22" s="15">
        <f t="shared" si="38"/>
        <v>10.2517942468043</v>
      </c>
      <c r="M22" s="15">
        <f t="shared" si="2"/>
        <v>105.099285278811</v>
      </c>
      <c r="N22" s="15">
        <f t="shared" si="3"/>
        <v>31.4524686001589</v>
      </c>
      <c r="O22" s="15">
        <f t="shared" si="4"/>
        <v>57.4946255760565</v>
      </c>
      <c r="P22" s="15">
        <f t="shared" si="5"/>
        <v>128.686081543532</v>
      </c>
      <c r="Q22" s="15">
        <f t="shared" si="6"/>
        <v>70.3977962891714</v>
      </c>
    </row>
    <row r="23" ht="15.75" customHeight="1" spans="2:17">
      <c r="B23" s="12">
        <v>19</v>
      </c>
      <c r="C23" s="12">
        <v>300</v>
      </c>
      <c r="D23" s="13">
        <v>287850</v>
      </c>
      <c r="E23" s="13">
        <v>29000</v>
      </c>
      <c r="F23" s="10" t="s">
        <v>39</v>
      </c>
      <c r="G23" s="15">
        <f t="shared" ref="G23:I23" si="39">AVERAGE(C22:C24)</f>
        <v>289.333333333333</v>
      </c>
      <c r="H23" s="15">
        <f t="shared" si="39"/>
        <v>285890</v>
      </c>
      <c r="I23" s="15">
        <f t="shared" si="39"/>
        <v>28666.6666666667</v>
      </c>
      <c r="J23" s="15">
        <f t="shared" ref="J23:L23" si="40">LN(G23)</f>
        <v>5.66757942599224</v>
      </c>
      <c r="K23" s="15">
        <f t="shared" si="40"/>
        <v>12.5633624004339</v>
      </c>
      <c r="L23" s="15">
        <f t="shared" si="40"/>
        <v>10.2634902865675</v>
      </c>
      <c r="M23" s="15">
        <f t="shared" si="2"/>
        <v>105.339232862466</v>
      </c>
      <c r="N23" s="15">
        <f t="shared" si="3"/>
        <v>32.1214565499305</v>
      </c>
      <c r="O23" s="15">
        <f t="shared" si="4"/>
        <v>58.1691463870214</v>
      </c>
      <c r="P23" s="15">
        <f t="shared" si="5"/>
        <v>128.943947963481</v>
      </c>
      <c r="Q23" s="15">
        <f t="shared" si="6"/>
        <v>71.2038542619837</v>
      </c>
    </row>
    <row r="24" ht="15.75" customHeight="1" spans="2:17">
      <c r="B24" s="16">
        <v>20</v>
      </c>
      <c r="C24" s="16">
        <v>300</v>
      </c>
      <c r="D24" s="17">
        <v>287850</v>
      </c>
      <c r="E24" s="17">
        <v>29000</v>
      </c>
      <c r="F24" s="18" t="s">
        <v>40</v>
      </c>
      <c r="G24" s="19">
        <f t="shared" ref="G24:I24" si="41">AVERAGE(C23:C25)</f>
        <v>300</v>
      </c>
      <c r="H24" s="19">
        <f t="shared" si="41"/>
        <v>287850</v>
      </c>
      <c r="I24" s="19">
        <f t="shared" si="41"/>
        <v>29000</v>
      </c>
      <c r="J24" s="19">
        <f t="shared" ref="J24:L24" si="42">LN(G24)</f>
        <v>5.7037824746562</v>
      </c>
      <c r="K24" s="19">
        <f t="shared" si="42"/>
        <v>12.570194790104</v>
      </c>
      <c r="L24" s="19">
        <f t="shared" si="42"/>
        <v>10.2750511089686</v>
      </c>
      <c r="M24" s="19">
        <f t="shared" si="2"/>
        <v>105.576675291917</v>
      </c>
      <c r="N24" s="19">
        <f t="shared" si="3"/>
        <v>32.5331345181952</v>
      </c>
      <c r="O24" s="19">
        <f t="shared" si="4"/>
        <v>58.6066564415319</v>
      </c>
      <c r="P24" s="19">
        <f t="shared" si="5"/>
        <v>129.159393918009</v>
      </c>
      <c r="Q24" s="19">
        <f t="shared" si="6"/>
        <v>71.6976567468096</v>
      </c>
    </row>
    <row r="25" ht="15.75" customHeight="1" spans="2:17">
      <c r="B25" s="20"/>
      <c r="C25" s="20"/>
      <c r="D25" s="20"/>
      <c r="E25" s="20"/>
      <c r="F25" s="20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ht="15.75" customHeight="1" spans="2:17">
      <c r="B26" s="22"/>
      <c r="C26" s="23"/>
      <c r="D26" s="23"/>
      <c r="E26" s="23"/>
      <c r="F26" s="23"/>
      <c r="G26" s="23"/>
      <c r="H26" s="23"/>
      <c r="I26" s="59"/>
      <c r="J26" s="21"/>
      <c r="K26" s="21"/>
      <c r="L26" s="21"/>
      <c r="M26" s="21"/>
      <c r="N26" s="21"/>
      <c r="O26" s="21"/>
      <c r="P26" s="21"/>
      <c r="Q26" s="21"/>
    </row>
    <row r="27" ht="15.75" customHeight="1" spans="2:17">
      <c r="B27" s="20"/>
      <c r="C27" s="20"/>
      <c r="D27" s="20"/>
      <c r="E27" s="20"/>
      <c r="F27" s="20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ht="15.75" customHeight="1" spans="2:17">
      <c r="B28" s="24">
        <f>SUM(J6:J28)</f>
        <v>106.215104862367</v>
      </c>
      <c r="C28" s="24">
        <f t="shared" ref="C28:I28" si="43">SUM(K6:K27)</f>
        <v>234.164412154255</v>
      </c>
      <c r="D28" s="24">
        <f t="shared" si="43"/>
        <v>194.15242961536</v>
      </c>
      <c r="E28" s="24">
        <f t="shared" si="43"/>
        <v>1983.97399005249</v>
      </c>
      <c r="F28" s="24">
        <f t="shared" si="43"/>
        <v>593.82767404388</v>
      </c>
      <c r="G28" s="24">
        <f t="shared" si="43"/>
        <v>1085.37639517285</v>
      </c>
      <c r="H28" s="24">
        <f t="shared" si="43"/>
        <v>2392.97997878471</v>
      </c>
      <c r="I28" s="60">
        <f t="shared" si="43"/>
        <v>1309.14967029363</v>
      </c>
      <c r="J28" s="61"/>
      <c r="K28" s="62"/>
      <c r="L28" s="62"/>
      <c r="M28" s="62"/>
      <c r="N28" s="62"/>
      <c r="O28" s="62"/>
      <c r="P28" s="62"/>
      <c r="Q28" s="68"/>
    </row>
    <row r="29" ht="15.75" customHeight="1" spans="1:9">
      <c r="A29" s="25"/>
      <c r="B29" s="26"/>
      <c r="C29" s="27"/>
      <c r="D29" s="27"/>
      <c r="E29" s="27"/>
      <c r="F29" s="27"/>
      <c r="G29" s="27"/>
      <c r="H29" s="27"/>
      <c r="I29" s="63"/>
    </row>
    <row r="30" ht="15.75" customHeight="1" spans="1:9">
      <c r="A30" s="28"/>
      <c r="I30" s="25"/>
    </row>
    <row r="31" ht="15.75" customHeight="1" spans="1:9">
      <c r="A31" s="29"/>
      <c r="B31" s="30">
        <v>1257</v>
      </c>
      <c r="C31" s="30">
        <f>$F$76*(D31^$F$77)*(B31^F78)</f>
        <v>867920.941186815</v>
      </c>
      <c r="D31" s="30">
        <v>60000</v>
      </c>
      <c r="F31" s="30">
        <f>AVERAGE(B31:B33)</f>
        <v>1258</v>
      </c>
      <c r="G31" s="30">
        <f>AVERAGE(C31:C33)</f>
        <v>333358.813746239</v>
      </c>
      <c r="H31" s="30">
        <f>AVERAGE(D31:D33)</f>
        <v>60000</v>
      </c>
      <c r="I31" s="28"/>
    </row>
    <row r="32" ht="15.75" customHeight="1" spans="1:4">
      <c r="A32" s="25"/>
      <c r="B32" s="30">
        <v>1258</v>
      </c>
      <c r="C32" s="30">
        <f>$F$76*(D32^$F$77)*(B32^F85)</f>
        <v>66077.75002595</v>
      </c>
      <c r="D32" s="30">
        <v>60000</v>
      </c>
    </row>
    <row r="33" ht="15.75" customHeight="1" spans="1:4">
      <c r="A33" s="28"/>
      <c r="B33" s="30">
        <v>1259</v>
      </c>
      <c r="C33" s="30">
        <f>$F$76*(D33^$F$77)*(B33^F86)</f>
        <v>66077.75002595</v>
      </c>
      <c r="D33" s="30">
        <v>60000</v>
      </c>
    </row>
    <row r="34" ht="15.75" customHeight="1" spans="2:10">
      <c r="B34" s="31"/>
      <c r="C34" s="27"/>
      <c r="D34" s="27"/>
      <c r="E34" s="27"/>
      <c r="F34" s="27"/>
      <c r="G34" s="27"/>
      <c r="H34" s="27"/>
      <c r="I34" s="27"/>
      <c r="J34" s="34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 spans="1:7">
      <c r="A56" s="32"/>
      <c r="B56" s="33" t="s">
        <v>41</v>
      </c>
      <c r="C56" s="34"/>
      <c r="D56" s="35" t="s">
        <v>42</v>
      </c>
      <c r="E56" s="36">
        <v>22</v>
      </c>
      <c r="F56" s="37" t="s">
        <v>43</v>
      </c>
      <c r="G56" s="38"/>
    </row>
    <row r="57" ht="15.75" customHeight="1" spans="1:7">
      <c r="A57" s="39"/>
      <c r="B57" s="40" t="s">
        <v>44</v>
      </c>
      <c r="C57" s="41" t="s">
        <v>45</v>
      </c>
      <c r="E57" s="42"/>
      <c r="G57" s="39"/>
    </row>
    <row r="58" ht="15.75" customHeight="1" spans="1:7">
      <c r="A58" s="39"/>
      <c r="B58" s="40" t="s">
        <v>46</v>
      </c>
      <c r="C58" s="41" t="s">
        <v>47</v>
      </c>
      <c r="G58" s="39"/>
    </row>
    <row r="59" ht="15.75" customHeight="1" spans="1:7">
      <c r="A59" s="39"/>
      <c r="B59" s="40" t="s">
        <v>48</v>
      </c>
      <c r="C59" s="41" t="s">
        <v>49</v>
      </c>
      <c r="G59" s="39"/>
    </row>
    <row r="60" ht="15.75" customHeight="1" spans="1:7">
      <c r="A60" s="39"/>
      <c r="G60" s="39"/>
    </row>
    <row r="61" ht="15.75" customHeight="1" spans="1:7">
      <c r="A61" s="39"/>
      <c r="B61" s="43" t="s">
        <v>50</v>
      </c>
      <c r="C61" s="43" t="s">
        <v>51</v>
      </c>
      <c r="D61" s="43" t="s">
        <v>52</v>
      </c>
      <c r="F61" s="43" t="s">
        <v>53</v>
      </c>
      <c r="G61" s="39"/>
    </row>
    <row r="62" ht="15.75" customHeight="1" spans="1:7">
      <c r="A62" s="44"/>
      <c r="B62" s="45">
        <f>E56</f>
        <v>22</v>
      </c>
      <c r="C62" s="46">
        <f>D28</f>
        <v>194.15242961536</v>
      </c>
      <c r="D62" s="47">
        <f>B28</f>
        <v>106.215104862367</v>
      </c>
      <c r="E62" s="48" t="s">
        <v>54</v>
      </c>
      <c r="F62" s="47">
        <f>C28</f>
        <v>234.164412154255</v>
      </c>
      <c r="G62" s="44"/>
    </row>
    <row r="63" ht="15.75" customHeight="1" spans="1:16">
      <c r="A63" s="25"/>
      <c r="B63" s="49"/>
      <c r="C63" s="49"/>
      <c r="D63" s="49"/>
      <c r="E63" s="50"/>
      <c r="F63" s="49"/>
      <c r="G63" s="51"/>
      <c r="H63" s="52"/>
      <c r="I63" s="52"/>
      <c r="J63" s="64"/>
      <c r="K63" s="65"/>
      <c r="L63" s="52"/>
      <c r="M63" s="52"/>
      <c r="N63" s="66"/>
      <c r="O63" s="67"/>
      <c r="P63" s="66"/>
    </row>
    <row r="64" ht="15.75" customHeight="1" spans="1:7">
      <c r="A64" s="28"/>
      <c r="B64" s="53" t="s">
        <v>51</v>
      </c>
      <c r="C64" s="53" t="s">
        <v>55</v>
      </c>
      <c r="D64" s="53" t="s">
        <v>56</v>
      </c>
      <c r="E64" s="54"/>
      <c r="F64" s="53" t="s">
        <v>57</v>
      </c>
      <c r="G64" s="55"/>
    </row>
    <row r="65" ht="15.75" customHeight="1" spans="2:7">
      <c r="B65" s="45">
        <f t="shared" ref="B65:C65" si="44">D28</f>
        <v>194.15242961536</v>
      </c>
      <c r="C65" s="46">
        <f t="shared" si="44"/>
        <v>1983.97399005249</v>
      </c>
      <c r="D65" s="47">
        <f>G28</f>
        <v>1085.37639517285</v>
      </c>
      <c r="E65" s="48" t="s">
        <v>54</v>
      </c>
      <c r="F65" s="47">
        <f>H28</f>
        <v>2392.97997878471</v>
      </c>
      <c r="G65" s="55"/>
    </row>
    <row r="66" ht="15.75" customHeight="1" spans="2:7">
      <c r="B66" s="54"/>
      <c r="C66" s="54"/>
      <c r="D66" s="54"/>
      <c r="E66" s="54"/>
      <c r="F66" s="54"/>
      <c r="G66" s="55"/>
    </row>
    <row r="67" ht="15.75" customHeight="1" spans="2:7">
      <c r="B67" s="53" t="s">
        <v>52</v>
      </c>
      <c r="C67" s="53" t="s">
        <v>56</v>
      </c>
      <c r="D67" s="53" t="s">
        <v>58</v>
      </c>
      <c r="E67" s="54"/>
      <c r="F67" s="53" t="s">
        <v>59</v>
      </c>
      <c r="G67" s="55"/>
    </row>
    <row r="68" ht="15.75" customHeight="1" spans="2:7">
      <c r="B68" s="45">
        <f>B28</f>
        <v>106.215104862367</v>
      </c>
      <c r="C68" s="46">
        <f>G28</f>
        <v>1085.37639517285</v>
      </c>
      <c r="D68" s="47">
        <f>F28</f>
        <v>593.82767404388</v>
      </c>
      <c r="E68" s="48" t="s">
        <v>54</v>
      </c>
      <c r="F68" s="47">
        <f>I28</f>
        <v>1309.14967029363</v>
      </c>
      <c r="G68" s="55"/>
    </row>
    <row r="69" ht="15.75" customHeight="1" spans="7:7">
      <c r="G69" s="55"/>
    </row>
    <row r="70" ht="15.75" customHeight="1" spans="7:7">
      <c r="G70" s="55"/>
    </row>
    <row r="71" ht="15.75" customHeight="1" spans="7:7">
      <c r="G71" s="55"/>
    </row>
    <row r="72" ht="15.75" customHeight="1" spans="2:7">
      <c r="B72" s="69">
        <f>E56</f>
        <v>22</v>
      </c>
      <c r="C72" s="47">
        <f>D28</f>
        <v>194.15242961536</v>
      </c>
      <c r="D72" s="47">
        <f>B28</f>
        <v>106.215104862367</v>
      </c>
      <c r="E72" s="48" t="s">
        <v>60</v>
      </c>
      <c r="F72" s="47">
        <f>C28</f>
        <v>234.164412154255</v>
      </c>
      <c r="G72" s="55"/>
    </row>
    <row r="73" ht="15.75" customHeight="1" spans="2:7">
      <c r="B73" s="69">
        <f t="shared" ref="B73:C73" si="45">D28</f>
        <v>194.15242961536</v>
      </c>
      <c r="C73" s="47">
        <f t="shared" si="45"/>
        <v>1983.97399005249</v>
      </c>
      <c r="D73" s="47">
        <f>G28</f>
        <v>1085.37639517285</v>
      </c>
      <c r="E73" s="48" t="s">
        <v>60</v>
      </c>
      <c r="F73" s="47">
        <f>H28</f>
        <v>2392.97997878471</v>
      </c>
      <c r="G73" s="55"/>
    </row>
    <row r="74" ht="15.75" customHeight="1" spans="2:7">
      <c r="B74" s="69">
        <f>B28</f>
        <v>106.215104862367</v>
      </c>
      <c r="C74" s="47">
        <f>G28</f>
        <v>1085.37639517285</v>
      </c>
      <c r="D74" s="47">
        <f>F28</f>
        <v>593.82767404388</v>
      </c>
      <c r="E74" s="48" t="s">
        <v>60</v>
      </c>
      <c r="F74" s="47">
        <f>I28</f>
        <v>1309.14967029363</v>
      </c>
      <c r="G74" s="55"/>
    </row>
    <row r="75" ht="15.75" customHeight="1" spans="7:7">
      <c r="G75" s="55"/>
    </row>
    <row r="76" ht="15.75" customHeight="1" spans="2:7">
      <c r="B76" s="35" t="s">
        <v>44</v>
      </c>
      <c r="C76" s="70">
        <f t="array" ref="C76:C78">MMULT(MINVERSE(B72:D74),F72:F74)</f>
        <v>-0.00447027369261832</v>
      </c>
      <c r="D76" s="71" t="s">
        <v>61</v>
      </c>
      <c r="E76" s="72" t="s">
        <v>62</v>
      </c>
      <c r="F76" s="70">
        <f>EXP(C76)</f>
        <v>0.995539703108944</v>
      </c>
      <c r="G76" s="55"/>
    </row>
    <row r="77" ht="15.75" customHeight="1" spans="2:7">
      <c r="B77" s="35" t="s">
        <v>46</v>
      </c>
      <c r="C77" s="70">
        <v>1.0091762292941</v>
      </c>
      <c r="D77" s="71" t="s">
        <v>61</v>
      </c>
      <c r="E77" s="72" t="s">
        <v>63</v>
      </c>
      <c r="F77" s="70">
        <f t="shared" ref="F77:F78" si="46">C77</f>
        <v>1.0091762292941</v>
      </c>
      <c r="G77" s="55"/>
    </row>
    <row r="78" ht="15.75" customHeight="1" spans="2:7">
      <c r="B78" s="35" t="s">
        <v>48</v>
      </c>
      <c r="C78" s="70">
        <v>0.360859610296757</v>
      </c>
      <c r="D78" s="71" t="s">
        <v>61</v>
      </c>
      <c r="E78" s="72" t="s">
        <v>64</v>
      </c>
      <c r="F78" s="70">
        <f>C78</f>
        <v>0.360859610296757</v>
      </c>
      <c r="G78" s="55"/>
    </row>
    <row r="79" ht="15.75" customHeight="1" spans="7:7">
      <c r="G79" s="55"/>
    </row>
    <row r="80" ht="15.75" customHeight="1" spans="2:7">
      <c r="B80" s="2"/>
      <c r="C80" s="71"/>
      <c r="D80" s="2"/>
      <c r="G80" s="55"/>
    </row>
    <row r="81" ht="15.75" customHeight="1" spans="2:7">
      <c r="B81" s="73" t="s">
        <v>65</v>
      </c>
      <c r="C81" s="74" t="s">
        <v>66</v>
      </c>
      <c r="D81" s="74" t="s">
        <v>67</v>
      </c>
      <c r="E81" s="74" t="s">
        <v>68</v>
      </c>
      <c r="G81" s="55"/>
    </row>
    <row r="82" ht="15.75" customHeight="1" spans="2:7">
      <c r="B82" s="53">
        <f>H6</f>
        <v>104200</v>
      </c>
      <c r="C82" s="75">
        <f t="shared" ref="C82:C100" si="47">$F$76*(I6^$F$77)*(G6^$F$78)</f>
        <v>210465.590109774</v>
      </c>
      <c r="D82" s="75">
        <f t="shared" ref="D82:D100" si="48">(B82-C82)^2</f>
        <v>11292375641.3785</v>
      </c>
      <c r="E82" s="75">
        <f t="shared" ref="E82:E100" si="49">(B82-$B$106)^2</f>
        <v>16954050164.8507</v>
      </c>
      <c r="G82" s="55"/>
    </row>
    <row r="83" ht="15.75" customHeight="1" spans="2:7">
      <c r="B83" s="53">
        <f t="shared" ref="B82:B100" si="50">H7</f>
        <v>110323.333333333</v>
      </c>
      <c r="C83" s="75">
        <f t="shared" si="47"/>
        <v>208047.021651921</v>
      </c>
      <c r="D83" s="75">
        <f t="shared" si="48"/>
        <v>9549919258.58842</v>
      </c>
      <c r="E83" s="76">
        <f>(B83-$B$106)^2</f>
        <v>15396934840.2893</v>
      </c>
      <c r="G83" s="55"/>
    </row>
    <row r="84" ht="15.75" customHeight="1" spans="2:7">
      <c r="B84" s="53">
        <f t="shared" si="50"/>
        <v>138140</v>
      </c>
      <c r="C84" s="75">
        <f t="shared" si="47"/>
        <v>212251.401150609</v>
      </c>
      <c r="D84" s="75">
        <f t="shared" si="48"/>
        <v>5492499780.50647</v>
      </c>
      <c r="E84" s="75">
        <f t="shared" si="49"/>
        <v>9267473778.88581</v>
      </c>
      <c r="G84" s="55"/>
    </row>
    <row r="85" ht="15.75" customHeight="1" spans="2:7">
      <c r="B85" s="53">
        <f t="shared" si="50"/>
        <v>173040</v>
      </c>
      <c r="C85" s="75">
        <f t="shared" si="47"/>
        <v>217513.375587255</v>
      </c>
      <c r="D85" s="75">
        <f t="shared" si="48"/>
        <v>1977881136.12503</v>
      </c>
      <c r="E85" s="75">
        <f t="shared" si="49"/>
        <v>3765996971.86826</v>
      </c>
      <c r="G85" s="55"/>
    </row>
    <row r="86" ht="15.75" customHeight="1" spans="2:7">
      <c r="B86" s="53">
        <f t="shared" si="50"/>
        <v>226283.333333333</v>
      </c>
      <c r="C86" s="75">
        <f t="shared" si="47"/>
        <v>222943.291916279</v>
      </c>
      <c r="D86" s="75">
        <f t="shared" si="48"/>
        <v>11155876.6676362</v>
      </c>
      <c r="E86" s="75">
        <f t="shared" si="49"/>
        <v>66005647.3068631</v>
      </c>
      <c r="F86" s="77"/>
      <c r="G86" s="55"/>
    </row>
    <row r="87" ht="15.75" customHeight="1" spans="2:7">
      <c r="B87" s="53">
        <f t="shared" si="50"/>
        <v>262560</v>
      </c>
      <c r="C87" s="75">
        <f t="shared" si="47"/>
        <v>221542.637490226</v>
      </c>
      <c r="D87" s="75">
        <f t="shared" si="48"/>
        <v>1682424027.25818</v>
      </c>
      <c r="E87" s="75">
        <f t="shared" si="49"/>
        <v>792550908.710374</v>
      </c>
      <c r="F87" s="77"/>
      <c r="G87" s="55"/>
    </row>
    <row r="88" ht="15.75" customHeight="1" spans="2:6">
      <c r="B88" s="53">
        <f t="shared" si="50"/>
        <v>266640</v>
      </c>
      <c r="C88" s="75">
        <f t="shared" si="47"/>
        <v>223852.046893974</v>
      </c>
      <c r="D88" s="75">
        <f t="shared" si="48"/>
        <v>1830808931.00346</v>
      </c>
      <c r="E88" s="75">
        <f t="shared" si="49"/>
        <v>1038919919.23669</v>
      </c>
      <c r="F88" s="77"/>
    </row>
    <row r="89" ht="15.75" customHeight="1" spans="1:6">
      <c r="A89" s="78"/>
      <c r="B89" s="53">
        <f t="shared" si="50"/>
        <v>253270</v>
      </c>
      <c r="C89" s="75">
        <f t="shared" si="47"/>
        <v>226985.578304872</v>
      </c>
      <c r="D89" s="75">
        <f t="shared" si="48"/>
        <v>690870823.847309</v>
      </c>
      <c r="E89" s="75">
        <f t="shared" si="49"/>
        <v>355785633.271777</v>
      </c>
      <c r="F89" s="77"/>
    </row>
    <row r="90" ht="15.75" customHeight="1" spans="1:16">
      <c r="A90" s="79"/>
      <c r="B90" s="53">
        <f t="shared" si="50"/>
        <v>237566.666666667</v>
      </c>
      <c r="C90" s="75">
        <f t="shared" si="47"/>
        <v>230266.875762125</v>
      </c>
      <c r="D90" s="75">
        <f t="shared" si="48"/>
        <v>53286947.2500319</v>
      </c>
      <c r="E90" s="75">
        <f t="shared" si="49"/>
        <v>9978948.47645439</v>
      </c>
      <c r="F90" s="77"/>
      <c r="M90" s="104"/>
      <c r="N90" s="67"/>
      <c r="O90" s="67"/>
      <c r="P90" s="66"/>
    </row>
    <row r="91" ht="15.75" customHeight="1" spans="2:6">
      <c r="B91" s="53">
        <f t="shared" si="50"/>
        <v>245483.333333333</v>
      </c>
      <c r="C91" s="75">
        <f t="shared" si="47"/>
        <v>231798.673462895</v>
      </c>
      <c r="D91" s="75">
        <f t="shared" si="48"/>
        <v>187269915.769574</v>
      </c>
      <c r="E91" s="75">
        <f t="shared" si="49"/>
        <v>122669226.254233</v>
      </c>
      <c r="F91" s="77"/>
    </row>
    <row r="92" ht="15.75" customHeight="1" spans="2:6">
      <c r="B92" s="53">
        <f t="shared" si="50"/>
        <v>251530</v>
      </c>
      <c r="C92" s="75">
        <f t="shared" si="47"/>
        <v>228454.457289466</v>
      </c>
      <c r="D92" s="75">
        <f t="shared" si="48"/>
        <v>532480671.385668</v>
      </c>
      <c r="E92" s="75">
        <f t="shared" si="49"/>
        <v>293172496.429672</v>
      </c>
      <c r="F92" s="77"/>
    </row>
    <row r="93" ht="15.75" customHeight="1" spans="1:13">
      <c r="A93" s="78"/>
      <c r="B93" s="53">
        <f t="shared" si="50"/>
        <v>257510</v>
      </c>
      <c r="C93" s="75">
        <f t="shared" si="47"/>
        <v>226067.759329802</v>
      </c>
      <c r="D93" s="75">
        <f t="shared" si="48"/>
        <v>988614498.362633</v>
      </c>
      <c r="E93" s="75">
        <f t="shared" si="49"/>
        <v>533715373.622654</v>
      </c>
      <c r="F93" s="77"/>
      <c r="M93" s="105"/>
    </row>
    <row r="94" ht="15.75" customHeight="1" spans="1:13">
      <c r="A94" s="79"/>
      <c r="B94" s="53">
        <f t="shared" si="50"/>
        <v>259583.333333333</v>
      </c>
      <c r="C94" s="75">
        <f t="shared" si="47"/>
        <v>223217.300778364</v>
      </c>
      <c r="D94" s="75">
        <f t="shared" si="48"/>
        <v>1322488323.7891</v>
      </c>
      <c r="E94" s="75">
        <f t="shared" si="49"/>
        <v>633811542.043707</v>
      </c>
      <c r="F94" s="77"/>
      <c r="M94" s="106"/>
    </row>
    <row r="95" ht="15.75" customHeight="1" spans="2:13">
      <c r="B95" s="53">
        <f t="shared" si="50"/>
        <v>264456.666666667</v>
      </c>
      <c r="C95" s="75">
        <f t="shared" si="47"/>
        <v>224566.233536435</v>
      </c>
      <c r="D95" s="75">
        <f t="shared" si="48"/>
        <v>1591246655.31752</v>
      </c>
      <c r="E95" s="75">
        <f t="shared" si="49"/>
        <v>902939237.950141</v>
      </c>
      <c r="F95" s="77"/>
      <c r="M95" s="107"/>
    </row>
    <row r="96" ht="15.75" customHeight="1" spans="2:13">
      <c r="B96" s="53">
        <f t="shared" si="50"/>
        <v>270176.666666667</v>
      </c>
      <c r="C96" s="75">
        <f t="shared" si="47"/>
        <v>224566.233536435</v>
      </c>
      <c r="D96" s="75">
        <f t="shared" si="48"/>
        <v>2080311610.32738</v>
      </c>
      <c r="E96" s="75">
        <f t="shared" si="49"/>
        <v>1279417595.84488</v>
      </c>
      <c r="F96" s="77"/>
      <c r="M96" s="107"/>
    </row>
    <row r="97" ht="15.75" customHeight="1" spans="2:13">
      <c r="B97" s="53">
        <f t="shared" si="50"/>
        <v>276430</v>
      </c>
      <c r="C97" s="75">
        <f t="shared" si="47"/>
        <v>226496.39464437</v>
      </c>
      <c r="D97" s="75">
        <f t="shared" si="48"/>
        <v>2493364943.81177</v>
      </c>
      <c r="E97" s="75">
        <f t="shared" si="49"/>
        <v>1765872075.37704</v>
      </c>
      <c r="F97" s="77"/>
      <c r="M97" s="107"/>
    </row>
    <row r="98" ht="15.75" customHeight="1" spans="2:13">
      <c r="B98" s="53">
        <f t="shared" si="50"/>
        <v>282813.333333333</v>
      </c>
      <c r="C98" s="75">
        <f t="shared" si="47"/>
        <v>234494.570842006</v>
      </c>
      <c r="D98" s="75">
        <f t="shared" si="48"/>
        <v>2334702808.69331</v>
      </c>
      <c r="E98" s="75">
        <f t="shared" si="49"/>
        <v>2343103470.11388</v>
      </c>
      <c r="F98" s="77"/>
      <c r="M98" s="107"/>
    </row>
    <row r="99" ht="15.75" customHeight="1" spans="2:13">
      <c r="B99" s="80">
        <f t="shared" si="50"/>
        <v>285890</v>
      </c>
      <c r="C99" s="81">
        <f t="shared" si="47"/>
        <v>242413.604576209</v>
      </c>
      <c r="D99" s="81">
        <f t="shared" si="48"/>
        <v>1890196959.0458</v>
      </c>
      <c r="E99" s="81">
        <f t="shared" si="49"/>
        <v>2650425226.25423</v>
      </c>
      <c r="F99" s="77"/>
      <c r="M99" s="107"/>
    </row>
    <row r="100" ht="15.75" customHeight="1" spans="2:13">
      <c r="B100" s="82">
        <f t="shared" si="50"/>
        <v>287850</v>
      </c>
      <c r="C100" s="83">
        <f t="shared" si="47"/>
        <v>248483.514252609</v>
      </c>
      <c r="D100" s="83">
        <f t="shared" si="48"/>
        <v>1549720200.09956</v>
      </c>
      <c r="E100" s="83">
        <f t="shared" si="49"/>
        <v>2856077366.60511</v>
      </c>
      <c r="F100" s="77"/>
      <c r="M100" s="107"/>
    </row>
    <row r="101" ht="15.75" customHeight="1" spans="6:13">
      <c r="F101" s="77"/>
      <c r="M101" s="107"/>
    </row>
    <row r="102" ht="15.75" customHeight="1" spans="6:13">
      <c r="F102" s="77"/>
      <c r="M102" s="107"/>
    </row>
    <row r="103" ht="15.75" customHeight="1" spans="6:13">
      <c r="F103" s="77"/>
      <c r="M103" s="107"/>
    </row>
    <row r="104" ht="15.75" customHeight="1" spans="6:13">
      <c r="F104" s="77"/>
      <c r="M104" s="107"/>
    </row>
    <row r="105" ht="15.75" customHeight="1" spans="2:13">
      <c r="B105" s="84" t="s">
        <v>69</v>
      </c>
      <c r="F105" s="77"/>
      <c r="M105" s="107"/>
    </row>
    <row r="106" ht="15.75" customHeight="1" spans="2:13">
      <c r="B106" s="82">
        <f>AVERAGE(B82:B100)</f>
        <v>234407.719298246</v>
      </c>
      <c r="C106" s="85"/>
      <c r="F106" s="77"/>
      <c r="M106" s="107"/>
    </row>
    <row r="107" ht="15.75" customHeight="1" spans="2:5">
      <c r="B107" s="84" t="s">
        <v>70</v>
      </c>
      <c r="C107" s="86"/>
      <c r="D107" s="86"/>
      <c r="E107" s="86"/>
    </row>
    <row r="108" ht="15.75" customHeight="1" spans="2:5">
      <c r="B108" s="82">
        <f>SQRT(1-(SUM(D82:D100)/SUM(E82:E100)))</f>
        <v>0.469930221644802</v>
      </c>
      <c r="C108" s="86"/>
      <c r="D108" s="86"/>
      <c r="E108" s="86"/>
    </row>
    <row r="109" ht="15.75" customHeight="1" spans="2:5">
      <c r="B109" s="87"/>
      <c r="C109" s="86"/>
      <c r="D109" s="86"/>
      <c r="E109" s="86"/>
    </row>
    <row r="110" ht="15.75" customHeight="1"/>
    <row r="111" ht="15.75" customHeight="1"/>
    <row r="112" ht="15.75" customHeight="1"/>
    <row r="113" ht="15.75" customHeight="1" spans="2:4">
      <c r="B113" s="88" t="s">
        <v>71</v>
      </c>
      <c r="C113" s="27"/>
      <c r="D113" s="34"/>
    </row>
    <row r="114" ht="15.75" customHeight="1"/>
    <row r="115" ht="15.75" customHeight="1" spans="2:13">
      <c r="B115" s="77"/>
      <c r="C115" s="77"/>
      <c r="D115" s="77"/>
      <c r="E115" s="77"/>
      <c r="F115" s="77"/>
      <c r="G115" s="55"/>
      <c r="M115" s="107"/>
    </row>
    <row r="116" ht="15.75" customHeight="1" spans="2:13">
      <c r="B116" s="89"/>
      <c r="C116" s="90"/>
      <c r="D116" s="90"/>
      <c r="E116" s="90"/>
      <c r="F116" s="91"/>
      <c r="G116" s="92"/>
      <c r="H116" s="85"/>
      <c r="I116" s="85"/>
      <c r="J116" s="85"/>
      <c r="K116" s="108"/>
      <c r="L116" s="109"/>
      <c r="M116" s="110"/>
    </row>
    <row r="117" ht="15.75" customHeight="1" spans="2:13">
      <c r="B117" s="93"/>
      <c r="C117" s="94"/>
      <c r="D117" s="94"/>
      <c r="E117" s="94"/>
      <c r="F117" s="95"/>
      <c r="G117" s="96"/>
      <c r="H117" s="97"/>
      <c r="I117" s="97"/>
      <c r="J117" s="97"/>
      <c r="K117" s="108"/>
      <c r="L117" s="109"/>
      <c r="M117" s="110"/>
    </row>
    <row r="118" ht="15.75" customHeight="1" spans="2:13">
      <c r="B118" s="98" t="s">
        <v>72</v>
      </c>
      <c r="C118" s="98" t="s">
        <v>73</v>
      </c>
      <c r="D118" s="98" t="s">
        <v>74</v>
      </c>
      <c r="E118" s="77" t="s">
        <v>75</v>
      </c>
      <c r="H118" s="85"/>
      <c r="I118" s="85"/>
      <c r="J118" s="85"/>
      <c r="K118" s="108"/>
      <c r="L118" s="109"/>
      <c r="M118" s="110"/>
    </row>
    <row r="119" ht="15.75" customHeight="1" spans="2:13">
      <c r="B119" s="53">
        <f>B106</f>
        <v>234407.719298246</v>
      </c>
      <c r="C119" s="53">
        <f>AVERAGE(I6:I27)</f>
        <v>27419.7368421053</v>
      </c>
      <c r="D119" s="53">
        <f>AVERAGE(G6:G27)</f>
        <v>268.210526315789</v>
      </c>
      <c r="E119" s="77" t="s">
        <v>76</v>
      </c>
      <c r="M119" s="107"/>
    </row>
    <row r="120" ht="15.75" customHeight="1" spans="1:13">
      <c r="A120" s="25"/>
      <c r="B120" s="89"/>
      <c r="C120" s="90"/>
      <c r="D120" s="90"/>
      <c r="E120" s="90"/>
      <c r="F120" s="90"/>
      <c r="G120" s="90"/>
      <c r="H120" s="90"/>
      <c r="I120" s="91"/>
      <c r="J120" s="111"/>
      <c r="K120" s="112"/>
      <c r="L120" s="112"/>
      <c r="M120" s="110"/>
    </row>
    <row r="121" ht="15.75" customHeight="1" spans="1:13">
      <c r="A121" s="28"/>
      <c r="B121" s="93"/>
      <c r="C121" s="94"/>
      <c r="D121" s="94"/>
      <c r="E121" s="94"/>
      <c r="F121" s="94"/>
      <c r="G121" s="94"/>
      <c r="H121" s="94"/>
      <c r="I121" s="95"/>
      <c r="J121" s="113"/>
      <c r="K121" s="114"/>
      <c r="L121" s="114"/>
      <c r="M121" s="106"/>
    </row>
    <row r="122" ht="15.75" customHeight="1" spans="1:6">
      <c r="A122" s="1" t="s">
        <v>77</v>
      </c>
      <c r="B122" s="99">
        <f>F78*(B119/D119)</f>
        <v>315.380158260167</v>
      </c>
      <c r="C122" s="100" t="s">
        <v>78</v>
      </c>
      <c r="D122" s="101" t="s">
        <v>79</v>
      </c>
      <c r="E122" s="101"/>
      <c r="F122" s="101"/>
    </row>
    <row r="123" ht="15.75" customHeight="1" spans="1:6">
      <c r="A123" s="1" t="s">
        <v>80</v>
      </c>
      <c r="B123" s="99">
        <f>F77*(B119/C119)</f>
        <v>8.62731468361788</v>
      </c>
      <c r="C123" s="100" t="s">
        <v>78</v>
      </c>
      <c r="D123" s="101" t="s">
        <v>81</v>
      </c>
      <c r="E123" s="101"/>
      <c r="F123" s="101"/>
    </row>
    <row r="124" ht="15.75" customHeight="1" spans="4:4">
      <c r="D124" s="84"/>
    </row>
    <row r="125" ht="15.75" customHeight="1" spans="1:1">
      <c r="A125" s="102"/>
    </row>
    <row r="126" ht="15.75" customHeight="1" spans="1:1">
      <c r="A126" s="103"/>
    </row>
    <row r="127" ht="15.75" customHeight="1"/>
    <row r="128" ht="15.75" customHeight="1" spans="2:3">
      <c r="B128" s="84"/>
      <c r="C128" s="99"/>
    </row>
    <row r="129" ht="15.75" customHeight="1" spans="2:4">
      <c r="B129" s="115" t="s">
        <v>82</v>
      </c>
      <c r="D129" s="116">
        <f>F78</f>
        <v>0.360859610296757</v>
      </c>
    </row>
    <row r="130" ht="15.75" customHeight="1"/>
    <row r="131" ht="15.75" customHeight="1" spans="2:5">
      <c r="B131" s="117" t="s">
        <v>83</v>
      </c>
      <c r="C131" s="118"/>
      <c r="D131" s="118"/>
      <c r="E131" s="118"/>
    </row>
    <row r="132" ht="15.75" customHeight="1" spans="2:5">
      <c r="B132" s="117" t="s">
        <v>84</v>
      </c>
      <c r="C132" s="85"/>
      <c r="D132" s="85"/>
      <c r="E132" s="85"/>
    </row>
    <row r="133" ht="15.75" customHeight="1" spans="2:5">
      <c r="B133" s="119" t="s">
        <v>85</v>
      </c>
      <c r="C133" s="120"/>
      <c r="D133" s="120"/>
      <c r="E133" s="120"/>
    </row>
    <row r="134" ht="15.75" customHeight="1" spans="2:4">
      <c r="B134" s="121"/>
      <c r="C134" s="122"/>
      <c r="D134" s="122"/>
    </row>
    <row r="135" ht="15.75" customHeight="1" spans="2:2">
      <c r="B135" s="123" t="s">
        <v>86</v>
      </c>
    </row>
    <row r="136" ht="15.75" customHeight="1"/>
    <row r="137" ht="15.75" customHeight="1" spans="2:6">
      <c r="B137" s="115" t="s">
        <v>87</v>
      </c>
      <c r="D137" s="116">
        <f>F77</f>
        <v>1.0091762292941</v>
      </c>
      <c r="F137" s="118"/>
    </row>
    <row r="138" ht="15.75" customHeight="1" spans="6:6">
      <c r="F138" s="85"/>
    </row>
    <row r="139" ht="15.75" customHeight="1" spans="2:6">
      <c r="B139" s="124" t="s">
        <v>88</v>
      </c>
      <c r="C139" s="125"/>
      <c r="D139" s="125"/>
      <c r="E139" s="125"/>
      <c r="F139" s="120"/>
    </row>
    <row r="140" ht="15.75" customHeight="1" spans="2:12">
      <c r="B140" s="117" t="s">
        <v>89</v>
      </c>
      <c r="C140" s="85"/>
      <c r="D140" s="85"/>
      <c r="E140" s="85"/>
      <c r="F140" s="126"/>
      <c r="G140" s="126"/>
      <c r="H140" s="126"/>
      <c r="I140" s="52"/>
      <c r="J140" s="52"/>
      <c r="K140" s="52"/>
      <c r="L140" s="64"/>
    </row>
    <row r="141" ht="15.75" customHeight="1" spans="2:8">
      <c r="B141" s="117" t="s">
        <v>90</v>
      </c>
      <c r="C141" s="118"/>
      <c r="D141" s="118"/>
      <c r="E141" s="118"/>
      <c r="F141" s="29"/>
      <c r="G141" s="29"/>
      <c r="H141" s="29"/>
    </row>
    <row r="142" ht="15.75" customHeight="1" spans="2:8">
      <c r="B142" s="29"/>
      <c r="C142" s="29"/>
      <c r="D142" s="29"/>
      <c r="E142" s="29"/>
      <c r="F142" s="29"/>
      <c r="G142" s="29"/>
      <c r="H142" s="29"/>
    </row>
    <row r="143" ht="15.75" customHeight="1" spans="2:8">
      <c r="B143" s="127"/>
      <c r="E143" s="29"/>
      <c r="F143" s="29"/>
      <c r="G143" s="29"/>
      <c r="H143" s="29"/>
    </row>
    <row r="144" ht="15.75" customHeight="1" spans="2:8">
      <c r="B144" s="128"/>
      <c r="C144" s="126"/>
      <c r="D144" s="126"/>
      <c r="E144" s="126"/>
      <c r="F144" s="126"/>
      <c r="G144" s="126"/>
      <c r="H144" s="126"/>
    </row>
    <row r="145" ht="15.75" customHeight="1" spans="6:8">
      <c r="F145" s="125"/>
      <c r="G145" s="129"/>
      <c r="H145" s="130"/>
    </row>
    <row r="146" ht="15.75" customHeight="1" spans="6:8">
      <c r="F146" s="85"/>
      <c r="G146" s="29"/>
      <c r="H146" s="131"/>
    </row>
    <row r="147" ht="15.75" customHeight="1" spans="6:8">
      <c r="F147" s="118"/>
      <c r="G147" s="29"/>
      <c r="H147" s="132"/>
    </row>
    <row r="148" ht="15.75" customHeight="1" spans="2:8">
      <c r="B148" s="85"/>
      <c r="C148" s="85"/>
      <c r="D148" s="85"/>
      <c r="E148" s="85"/>
      <c r="F148" s="85"/>
      <c r="G148" s="29"/>
      <c r="H148" s="133"/>
    </row>
    <row r="149" ht="15.75" customHeight="1" spans="3:8">
      <c r="C149" s="85"/>
      <c r="D149" s="85"/>
      <c r="E149" s="85"/>
      <c r="F149" s="85"/>
      <c r="G149" s="29"/>
      <c r="H149" s="133"/>
    </row>
    <row r="150" ht="15.75" customHeight="1" spans="2:8">
      <c r="B150" s="134"/>
      <c r="C150" s="134"/>
      <c r="D150" s="134"/>
      <c r="E150" s="134"/>
      <c r="F150" s="134"/>
      <c r="G150" s="29"/>
      <c r="H150" s="133"/>
    </row>
    <row r="151" ht="15.75" customHeight="1" spans="2:8">
      <c r="B151" s="134"/>
      <c r="C151" s="134"/>
      <c r="D151" s="134"/>
      <c r="E151" s="134"/>
      <c r="F151" s="134"/>
      <c r="G151" s="29"/>
      <c r="H151" s="133"/>
    </row>
    <row r="152" ht="15.75" customHeight="1" spans="2:8">
      <c r="B152" s="134"/>
      <c r="C152" s="134"/>
      <c r="D152" s="134"/>
      <c r="E152" s="134"/>
      <c r="F152" s="134"/>
      <c r="G152" s="29"/>
      <c r="H152" s="133"/>
    </row>
    <row r="153" ht="15.75" customHeight="1" spans="1:8">
      <c r="A153" s="102"/>
      <c r="B153" s="134"/>
      <c r="C153" s="134"/>
      <c r="D153" s="134"/>
      <c r="E153" s="134"/>
      <c r="F153" s="134"/>
      <c r="G153" s="135"/>
      <c r="H153" s="133"/>
    </row>
    <row r="154" ht="15.75" customHeight="1" spans="1:8">
      <c r="A154" s="103"/>
      <c r="B154" s="134"/>
      <c r="C154" s="134"/>
      <c r="D154" s="134"/>
      <c r="E154" s="134"/>
      <c r="F154" s="134"/>
      <c r="G154" s="136"/>
      <c r="H154" s="133"/>
    </row>
    <row r="155" ht="15.75" customHeight="1" spans="2:8">
      <c r="B155" s="134"/>
      <c r="C155" s="134"/>
      <c r="D155" s="134"/>
      <c r="E155" s="134"/>
      <c r="F155" s="134"/>
      <c r="G155" s="137"/>
      <c r="H155" s="133"/>
    </row>
    <row r="156" ht="15.75" customHeight="1" spans="7:8">
      <c r="G156" s="29"/>
      <c r="H156" s="133"/>
    </row>
    <row r="157" ht="15.75" customHeight="1" spans="7:8">
      <c r="G157" s="29"/>
      <c r="H157" s="133"/>
    </row>
    <row r="158" ht="15.75" customHeight="1" spans="7:8">
      <c r="G158" s="29"/>
      <c r="H158" s="133"/>
    </row>
    <row r="159" ht="15.75" customHeight="1" spans="7:8">
      <c r="G159" s="29"/>
      <c r="H159" s="133"/>
    </row>
    <row r="160" ht="15.75" customHeight="1" spans="7:8">
      <c r="G160" s="29"/>
      <c r="H160" s="133"/>
    </row>
    <row r="161" ht="15.75" customHeight="1" spans="7:8">
      <c r="G161" s="135"/>
      <c r="H161" s="133"/>
    </row>
    <row r="162" ht="15.75" customHeight="1" spans="7:8">
      <c r="G162" s="136"/>
      <c r="H162" s="133"/>
    </row>
    <row r="163" ht="15.75" customHeight="1" spans="7:8">
      <c r="G163" s="137"/>
      <c r="H163" s="133"/>
    </row>
    <row r="164" ht="15.75" customHeight="1" spans="7:8">
      <c r="G164" s="29"/>
      <c r="H164" s="133"/>
    </row>
    <row r="165" ht="15.75" customHeight="1" spans="7:8">
      <c r="G165" s="29"/>
      <c r="H165" s="133"/>
    </row>
    <row r="166" ht="15.75" customHeight="1" spans="7:8">
      <c r="G166" s="29"/>
      <c r="H166" s="133"/>
    </row>
    <row r="167" ht="15.75" customHeight="1" spans="7:8">
      <c r="G167" s="29"/>
      <c r="H167" s="133"/>
    </row>
    <row r="168" ht="15.75" customHeight="1" spans="7:8">
      <c r="G168" s="29"/>
      <c r="H168" s="133"/>
    </row>
    <row r="169" ht="15.75" customHeight="1" spans="7:8">
      <c r="G169" s="29"/>
      <c r="H169" s="133"/>
    </row>
    <row r="170" ht="15.75" customHeight="1" spans="7:8">
      <c r="G170" s="29"/>
      <c r="H170" s="133"/>
    </row>
    <row r="171" ht="15.75" customHeight="1" spans="7:8">
      <c r="G171" s="29"/>
      <c r="H171" s="133"/>
    </row>
    <row r="172" ht="15.75" customHeight="1" spans="7:8">
      <c r="G172" s="29"/>
      <c r="H172" s="133"/>
    </row>
    <row r="173" ht="15.75" customHeight="1" spans="2:8">
      <c r="B173" s="65"/>
      <c r="C173" s="52"/>
      <c r="D173" s="52"/>
      <c r="E173" s="52"/>
      <c r="F173" s="52"/>
      <c r="G173" s="52"/>
      <c r="H173" s="64"/>
    </row>
    <row r="174" ht="15.75" customHeight="1" spans="7:8">
      <c r="G174" s="29"/>
      <c r="H174" s="29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B1:G1"/>
    <mergeCell ref="G3:I3"/>
    <mergeCell ref="B26:I26"/>
    <mergeCell ref="J28:Q28"/>
    <mergeCell ref="B29:I29"/>
    <mergeCell ref="B34:J34"/>
    <mergeCell ref="B56:C56"/>
    <mergeCell ref="B113:D113"/>
    <mergeCell ref="E118:G118"/>
    <mergeCell ref="E119:G119"/>
    <mergeCell ref="D122:F122"/>
    <mergeCell ref="D123:F123"/>
    <mergeCell ref="A29:A30"/>
    <mergeCell ref="A32:A33"/>
    <mergeCell ref="A63:A64"/>
    <mergeCell ref="A89:A90"/>
    <mergeCell ref="A93:A94"/>
    <mergeCell ref="A120:A121"/>
    <mergeCell ref="A125:A126"/>
    <mergeCell ref="A153:A154"/>
    <mergeCell ref="I30:I31"/>
    <mergeCell ref="J2:J3"/>
    <mergeCell ref="Q2:Q3"/>
  </mergeCells>
  <pageMargins left="0.7" right="0.7" top="0.75" bottom="0.75" header="0" footer="0"/>
  <pageSetup paperSize="1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Равновесные модели FC №1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fergus</cp:lastModifiedBy>
  <dcterms:created xsi:type="dcterms:W3CDTF">2006-09-16T00:00:00Z</dcterms:created>
  <dcterms:modified xsi:type="dcterms:W3CDTF">2026-03-16T17:41:54Z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B1CDA452D0944D4684AC4BA2EA1F2BE8_13</vt:lpwstr>
  </property>
  <property fmtid="{D5CDD505-2E9C-101B-9397-08002B2CF9AE}" pid="3" name="KSOProductBuildVer">
    <vt:lpwstr>1049-12.2.0.23197</vt:lpwstr>
  </property>
</Properties>
</file>