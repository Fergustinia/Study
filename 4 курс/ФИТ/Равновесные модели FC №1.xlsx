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Равновесные модели FC №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<sst xmlns="http://schemas.openxmlformats.org/spreadsheetml/2006/main" count="111" uniqueCount="99">
  <si>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>Вариант 3</t>
  </si>
  <si>
    <t>Период сглаживания = 3</t>
  </si>
  <si>
    <t>S</t>
  </si>
  <si>
    <t>С</t>
  </si>
  <si>
    <t>D</t>
  </si>
  <si>
    <t>Трёхуровневое сглаживание</t>
  </si>
  <si>
    <t>Месяц №</t>
  </si>
  <si>
    <t>Цена</t>
  </si>
  <si>
    <t>Спрос</t>
  </si>
  <si>
    <t>Предложение</t>
  </si>
  <si>
    <t>Доход</t>
  </si>
  <si>
    <t>Период</t>
  </si>
  <si>
    <t>По цене (L)</t>
  </si>
  <si>
    <t>По спросу (Y)</t>
  </si>
  <si>
    <t>По доходу (Ô)</t>
  </si>
  <si>
    <t>По предложению (s)</t>
  </si>
  <si>
    <t>ln(L)</t>
  </si>
  <si>
    <t>ln(Y)</t>
  </si>
  <si>
    <t>ln(Ô)</t>
  </si>
  <si>
    <t>ln(s)</t>
  </si>
  <si>
    <t>ln^2(Ô)</t>
  </si>
  <si>
    <t>ln^2(L)</t>
  </si>
  <si>
    <t>ln^2(s)</t>
  </si>
  <si>
    <t>ln(Ô)*ln(L)</t>
  </si>
  <si>
    <t>ln(Y)*ln(Ô)</t>
  </si>
  <si>
    <t>ln(Y)*ln(L)</t>
  </si>
  <si>
    <t>ln(s)*ln(L)</t>
  </si>
  <si>
    <t>ln(s)*ln(Ô)</t>
  </si>
  <si>
    <t>ln(s)*ln(Y)</t>
  </si>
  <si>
    <t>1..3</t>
  </si>
  <si>
    <t>2..4</t>
  </si>
  <si>
    <t>3..5</t>
  </si>
  <si>
    <t>4..6</t>
  </si>
  <si>
    <t>5..7</t>
  </si>
  <si>
    <t>6..8</t>
  </si>
  <si>
    <t>7..9</t>
  </si>
  <si>
    <t>8..10</t>
  </si>
  <si>
    <t>9..11</t>
  </si>
  <si>
    <t>10..12</t>
  </si>
  <si>
    <t>11..13</t>
  </si>
  <si>
    <t>12..14</t>
  </si>
  <si>
    <t>13..15</t>
  </si>
  <si>
    <t>14..16</t>
  </si>
  <si>
    <t>15..17</t>
  </si>
  <si>
    <t>16..18</t>
  </si>
  <si>
    <t>17..19</t>
  </si>
  <si>
    <t>18..20</t>
  </si>
  <si>
    <t>19..21</t>
  </si>
  <si>
    <t>20..22</t>
  </si>
  <si>
    <t>21..23</t>
  </si>
  <si>
    <t>22..23</t>
  </si>
  <si>
    <t>Возьмём за X</t>
  </si>
  <si>
    <t>x1 =</t>
  </si>
  <si>
    <t>ln(a)</t>
  </si>
  <si>
    <t>x2 =</t>
  </si>
  <si>
    <t>alpha</t>
  </si>
  <si>
    <t>x3 =</t>
  </si>
  <si>
    <t>beta</t>
  </si>
  <si>
    <t>N</t>
  </si>
  <si>
    <t>ln(Ô) сумма</t>
  </si>
  <si>
    <t>ln(L) сумма</t>
  </si>
  <si>
    <t>ln(Y) сумма</t>
  </si>
  <si>
    <t>,=</t>
  </si>
  <si>
    <t>ln(Ô)^2 сумма</t>
  </si>
  <si>
    <t>ln(Ô) ln(L)  сумма</t>
  </si>
  <si>
    <t>ln(Y)*ln(Ô) сумма</t>
  </si>
  <si>
    <t>ln(L)^2 сумма</t>
  </si>
  <si>
    <t>ln(Y)*ln(L) сумма</t>
  </si>
  <si>
    <t>.=</t>
  </si>
  <si>
    <t>--&gt;</t>
  </si>
  <si>
    <t>a =</t>
  </si>
  <si>
    <t>alpha =</t>
  </si>
  <si>
    <t>beta =</t>
  </si>
  <si>
    <t>Выровненный спрос (C)</t>
  </si>
  <si>
    <t>Аппроксимированный спрос (Y)</t>
  </si>
  <si>
    <t xml:space="preserve"> Знаменатель в формуле индекса корреляции</t>
  </si>
  <si>
    <t xml:space="preserve"> Числитель в формуле индекса корреляции</t>
  </si>
  <si>
    <t>Среднее значение (Сумма) Средний спрос (С)</t>
  </si>
  <si>
    <t>Корреляция:</t>
  </si>
  <si>
    <t>Спрос = 3195874,788 × D^(-0.282) × s^(-0.024)</t>
  </si>
  <si>
    <t>Средний спрос (С)</t>
  </si>
  <si>
    <t>Средний доход (D)</t>
  </si>
  <si>
    <t>Средняя цена (S)</t>
  </si>
  <si>
    <t>Если цена вырастет на 1 рубль, спрос снизится примерно на 3,15 единицы (штук/кг)</t>
  </si>
  <si>
    <t>Если доход вырастет на 1 рубль, спрос снизится примерно на 0,93 единицы.</t>
  </si>
  <si>
    <t>Us</t>
  </si>
  <si>
    <t>Б0</t>
  </si>
  <si>
    <t>Предельная эффективность спроса по цене</t>
  </si>
  <si>
    <t>Ud</t>
  </si>
  <si>
    <t>&gt;0</t>
  </si>
  <si>
    <t>Предельная эффективность спроса по доходу</t>
  </si>
  <si>
    <t>β (эластичность по цене) =</t>
  </si>
  <si>
    <t>При увеличении цены на 1% спрос понижается на 1.613%.</t>
  </si>
  <si>
    <t>Так как |β| &lt; 1, спрос является неэластичным по цене.</t>
  </si>
  <si>
    <r>
      <rPr>
        <b/>
        <sz val="10"/>
        <color theme="1"/>
        <rFont val="Times New Roman"/>
        <charset val="134"/>
      </rPr>
      <t xml:space="preserve">Эластичность спроса </t>
    </r>
    <r>
      <rPr>
        <sz val="10"/>
        <color theme="1"/>
        <rFont val="Times New Roman"/>
        <charset val="134"/>
      </rPr>
      <t>по</t>
    </r>
    <r>
      <rPr>
        <b/>
        <sz val="10"/>
        <color theme="1"/>
        <rFont val="Times New Roman"/>
        <charset val="134"/>
      </rPr>
      <t xml:space="preserve"> доходу </t>
    </r>
    <r>
      <rPr>
        <sz val="10"/>
        <color theme="1"/>
        <rFont val="Times New Roman"/>
        <charset val="134"/>
      </rPr>
      <t>показывает процент увеличения спроса при росте дохода на 1%</t>
    </r>
  </si>
  <si>
    <t>α (эластичность по доходу) =</t>
  </si>
  <si>
    <t>При увеличении дохода на 1% спросповышается на 8.412%.</t>
  </si>
  <si>
    <t>Отрицательное значение означает, что товар относится к категории инфериорных (низкокачественных).</t>
  </si>
  <si>
    <t>Потребитель при росте дохода переключается на более качественные товары-заменители.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</si>
</sst>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</numFmts>
  <fonts count="3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0"/>
      <color theme="1"/>
      <name val="Times New Roman"/>
      <charset val="134"/>
    </font>
    <font>
      <sz val="11"/>
      <name val="Times New Roman"/>
      <charset val="134"/>
    </font>
    <font>
      <sz val="21"/>
      <color theme="1"/>
      <name val="Times New Roman"/>
      <charset val="134"/>
    </font>
    <font>
      <sz val="11"/>
      <color rgb="FFFCE5CD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4" applyNumberFormat="0" applyAlignment="0" applyProtection="0">
      <alignment vertical="center"/>
    </xf>
    <xf numFmtId="0" fontId="21" fillId="4" borderId="25" applyNumberFormat="0" applyAlignment="0" applyProtection="0">
      <alignment vertical="center"/>
    </xf>
    <xf numFmtId="0" fontId="22" fillId="4" borderId="24" applyNumberFormat="0" applyAlignment="0" applyProtection="0">
      <alignment vertical="center"/>
    </xf>
    <xf numFmtId="0" fontId="23" fillId="5" borderId="26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18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80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0" fontId="4" fillId="0" borderId="7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4" fillId="0" borderId="0" xfId="0" applyNumberFormat="1" applyFont="1" applyFill="1" applyBorder="1" applyAlignment="1">
      <alignment horizontal="center"/>
    </xf>
    <xf numFmtId="180" fontId="4" fillId="0" borderId="4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/>
    </xf>
    <xf numFmtId="0" fontId="6" fillId="0" borderId="8" xfId="0" applyFont="1" applyFill="1" applyBorder="1"/>
    <xf numFmtId="0" fontId="1" fillId="0" borderId="0" xfId="0" applyFont="1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/>
    <xf numFmtId="0" fontId="8" fillId="0" borderId="0" xfId="0" applyFont="1" applyFill="1" applyBorder="1"/>
    <xf numFmtId="0" fontId="2" fillId="0" borderId="5" xfId="0" applyFont="1" applyFill="1" applyBorder="1" applyAlignment="1">
      <alignment horizontal="center" vertical="center"/>
    </xf>
    <xf numFmtId="0" fontId="6" fillId="0" borderId="9" xfId="0" applyFont="1" applyFill="1" applyBorder="1"/>
    <xf numFmtId="0" fontId="3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/>
    <xf numFmtId="0" fontId="3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left" vertical="center"/>
    </xf>
    <xf numFmtId="0" fontId="9" fillId="0" borderId="0" xfId="0" applyFont="1" applyFill="1" applyAlignment="1"/>
    <xf numFmtId="0" fontId="1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0" fontId="1" fillId="0" borderId="2" xfId="0" applyFont="1" applyFill="1" applyBorder="1" applyAlignment="1"/>
    <xf numFmtId="180" fontId="4" fillId="0" borderId="14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/>
    <xf numFmtId="180" fontId="4" fillId="0" borderId="3" xfId="0" applyNumberFormat="1" applyFont="1" applyFill="1" applyBorder="1" applyAlignment="1">
      <alignment horizontal="center" vertical="center"/>
    </xf>
    <xf numFmtId="180" fontId="4" fillId="0" borderId="16" xfId="0" applyNumberFormat="1" applyFont="1" applyFill="1" applyBorder="1" applyAlignment="1">
      <alignment horizontal="center" vertical="center"/>
    </xf>
    <xf numFmtId="180" fontId="4" fillId="0" borderId="6" xfId="0" applyNumberFormat="1" applyFont="1" applyFill="1" applyBorder="1" applyAlignment="1">
      <alignment horizontal="center" vertical="center"/>
    </xf>
    <xf numFmtId="180" fontId="4" fillId="0" borderId="14" xfId="0" applyNumberFormat="1" applyFont="1" applyFill="1" applyBorder="1" applyAlignment="1">
      <alignment horizontal="center"/>
    </xf>
    <xf numFmtId="180" fontId="4" fillId="0" borderId="2" xfId="0" applyNumberFormat="1" applyFont="1" applyFill="1" applyBorder="1" applyAlignment="1">
      <alignment horizontal="center"/>
    </xf>
    <xf numFmtId="0" fontId="6" fillId="0" borderId="17" xfId="0" applyFont="1" applyFill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14" xfId="0" applyFont="1" applyFill="1" applyBorder="1" applyAlignment="1">
      <alignment horizontal="center" vertical="center"/>
    </xf>
    <xf numFmtId="180" fontId="1" fillId="0" borderId="2" xfId="0" applyNumberFormat="1" applyFont="1" applyFill="1" applyBorder="1" applyAlignment="1"/>
    <xf numFmtId="0" fontId="4" fillId="0" borderId="14" xfId="0" applyFont="1" applyFill="1" applyBorder="1" applyAlignment="1">
      <alignment horizontal="left" vertical="center"/>
    </xf>
    <xf numFmtId="180" fontId="1" fillId="0" borderId="8" xfId="0" applyNumberFormat="1" applyFont="1" applyFill="1" applyBorder="1" applyAlignment="1">
      <alignment horizontal="center" vertical="center"/>
    </xf>
    <xf numFmtId="180" fontId="1" fillId="0" borderId="3" xfId="0" applyNumberFormat="1" applyFont="1" applyFill="1" applyBorder="1" applyAlignment="1">
      <alignment horizontal="center" vertical="center"/>
    </xf>
    <xf numFmtId="180" fontId="3" fillId="0" borderId="3" xfId="0" applyNumberFormat="1" applyFont="1" applyFill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180" fontId="1" fillId="0" borderId="4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/>
    <xf numFmtId="0" fontId="8" fillId="0" borderId="0" xfId="0" applyFont="1" applyFill="1"/>
    <xf numFmtId="180" fontId="1" fillId="0" borderId="1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right" vertical="center"/>
    </xf>
    <xf numFmtId="180" fontId="4" fillId="0" borderId="4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/>
    </xf>
    <xf numFmtId="180" fontId="1" fillId="0" borderId="4" xfId="0" applyNumberFormat="1" applyFont="1" applyFill="1" applyBorder="1" applyAlignment="1">
      <alignment horizontal="center"/>
    </xf>
    <xf numFmtId="0" fontId="2" fillId="0" borderId="0" xfId="0" applyFont="1" applyFill="1" applyAlignment="1">
      <alignment vertical="center" wrapText="1"/>
    </xf>
    <xf numFmtId="0" fontId="7" fillId="0" borderId="18" xfId="0" applyFont="1" applyFill="1" applyBorder="1" applyAlignment="1">
      <alignment horizontal="center" vertical="center"/>
    </xf>
    <xf numFmtId="0" fontId="6" fillId="0" borderId="1" xfId="0" applyFont="1" applyFill="1" applyBorder="1"/>
    <xf numFmtId="180" fontId="1" fillId="0" borderId="10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180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2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180" fontId="1" fillId="0" borderId="0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/>
    <xf numFmtId="0" fontId="6" fillId="0" borderId="3" xfId="0" applyFont="1" applyFill="1" applyBorder="1"/>
    <xf numFmtId="0" fontId="5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/>
    <xf numFmtId="180" fontId="2" fillId="0" borderId="4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Alignment="1"/>
    <xf numFmtId="180" fontId="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Fill="1" applyBorder="1"/>
    <xf numFmtId="0" fontId="8" fillId="0" borderId="14" xfId="0" applyFont="1" applyFill="1" applyBorder="1"/>
    <xf numFmtId="0" fontId="1" fillId="0" borderId="17" xfId="0" applyFont="1" applyFill="1" applyBorder="1"/>
    <xf numFmtId="0" fontId="1" fillId="0" borderId="12" xfId="0" applyFont="1" applyFill="1" applyBorder="1"/>
    <xf numFmtId="0" fontId="1" fillId="0" borderId="19" xfId="0" applyFont="1" applyFill="1" applyBorder="1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1" fillId="0" borderId="8" xfId="0" applyFont="1" applyFill="1" applyBorder="1"/>
    <xf numFmtId="0" fontId="1" fillId="0" borderId="8" xfId="0" applyFont="1" applyFill="1" applyBorder="1"/>
    <xf numFmtId="0" fontId="2" fillId="0" borderId="0" xfId="0" applyFont="1" applyFill="1" applyAlignment="1">
      <alignment horizontal="left"/>
    </xf>
    <xf numFmtId="180" fontId="1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right" vertical="center"/>
    </xf>
    <xf numFmtId="180" fontId="11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2400" b="1" i="0" u="none" strike="noStrike" kern="1200" baseline="0">
                <a:solidFill>
                  <a:srgbClr val="757575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2400" b="1">
                <a:solidFill>
                  <a:srgbClr val="757575"/>
                </a:solidFill>
                <a:latin typeface="Arial" panose="020B0604020202020204"/>
              </a:rPr>
              <a:t>Трёхуровневое сглаживание</a:t>
            </a:r>
            <a:endParaRPr sz="2400" b="1">
              <a:solidFill>
                <a:srgbClr val="757575"/>
              </a:solidFill>
              <a:latin typeface="Arial" panose="020B060402020202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'Равновесные модели FC №1'!$F$4</c:f>
              <c:strCache>
                <c:ptCount val="1"/>
                <c:pt idx="0">
                  <c:v>Доход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'Равновесные модели FC №1'!$F$5:$F$30</c:f>
              <c:numCache>
                <c:formatCode>General</c:formatCode>
                <c:ptCount val="26"/>
                <c:pt idx="0">
                  <c:v>25800</c:v>
                </c:pt>
                <c:pt idx="1">
                  <c:v>25875</c:v>
                </c:pt>
                <c:pt idx="2">
                  <c:v>26000</c:v>
                </c:pt>
                <c:pt idx="3">
                  <c:v>26000</c:v>
                </c:pt>
                <c:pt idx="4">
                  <c:v>26400</c:v>
                </c:pt>
                <c:pt idx="5">
                  <c:v>27200</c:v>
                </c:pt>
                <c:pt idx="6">
                  <c:v>27250</c:v>
                </c:pt>
                <c:pt idx="7">
                  <c:v>27275</c:v>
                </c:pt>
                <c:pt idx="8">
                  <c:v>27300</c:v>
                </c:pt>
                <c:pt idx="9">
                  <c:v>27300</c:v>
                </c:pt>
                <c:pt idx="10">
                  <c:v>27400</c:v>
                </c:pt>
                <c:pt idx="11">
                  <c:v>27500</c:v>
                </c:pt>
                <c:pt idx="12">
                  <c:v>27500</c:v>
                </c:pt>
                <c:pt idx="13">
                  <c:v>28000</c:v>
                </c:pt>
                <c:pt idx="14">
                  <c:v>28000</c:v>
                </c:pt>
                <c:pt idx="15">
                  <c:v>28000</c:v>
                </c:pt>
                <c:pt idx="16">
                  <c:v>28000</c:v>
                </c:pt>
                <c:pt idx="17">
                  <c:v>28000</c:v>
                </c:pt>
                <c:pt idx="18">
                  <c:v>29000</c:v>
                </c:pt>
                <c:pt idx="19">
                  <c:v>29000</c:v>
                </c:pt>
                <c:pt idx="20">
                  <c:v>29000</c:v>
                </c:pt>
                <c:pt idx="21">
                  <c:v>32000</c:v>
                </c:pt>
                <c:pt idx="22">
                  <c:v>32000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'Равновесные модели FC №1'!$J$4</c:f>
              <c:strCache>
                <c:ptCount val="1"/>
                <c:pt idx="0">
                  <c:v>По доходу (Ô)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'Равновесные модели FC №1'!$J$5:$J$30</c:f>
              <c:numCache>
                <c:formatCode>General</c:formatCode>
                <c:ptCount val="26"/>
                <c:pt idx="1" c:formatCode="0.000">
                  <c:v>25891.6666666667</c:v>
                </c:pt>
                <c:pt idx="2" c:formatCode="0.000">
                  <c:v>25958.3333333333</c:v>
                </c:pt>
                <c:pt idx="3" c:formatCode="0.000">
                  <c:v>26133.3333333333</c:v>
                </c:pt>
                <c:pt idx="4" c:formatCode="0.000">
                  <c:v>26533.3333333333</c:v>
                </c:pt>
                <c:pt idx="5" c:formatCode="0.000">
                  <c:v>26950</c:v>
                </c:pt>
                <c:pt idx="6" c:formatCode="0.000">
                  <c:v>27241.6666666667</c:v>
                </c:pt>
                <c:pt idx="7" c:formatCode="0.000">
                  <c:v>27275</c:v>
                </c:pt>
                <c:pt idx="8" c:formatCode="0.000">
                  <c:v>27291.6666666667</c:v>
                </c:pt>
                <c:pt idx="9" c:formatCode="0.000">
                  <c:v>27333.3333333333</c:v>
                </c:pt>
                <c:pt idx="10" c:formatCode="0.000">
                  <c:v>27400</c:v>
                </c:pt>
                <c:pt idx="11" c:formatCode="0.000">
                  <c:v>27466.6666666667</c:v>
                </c:pt>
                <c:pt idx="12" c:formatCode="0.000">
                  <c:v>27666.6666666667</c:v>
                </c:pt>
                <c:pt idx="13" c:formatCode="0.000">
                  <c:v>27833.3333333333</c:v>
                </c:pt>
                <c:pt idx="14" c:formatCode="0.000">
                  <c:v>28000</c:v>
                </c:pt>
                <c:pt idx="15" c:formatCode="0.000">
                  <c:v>28000</c:v>
                </c:pt>
                <c:pt idx="16" c:formatCode="0.000">
                  <c:v>28000</c:v>
                </c:pt>
                <c:pt idx="17" c:formatCode="0.000">
                  <c:v>28333.3333333333</c:v>
                </c:pt>
                <c:pt idx="18" c:formatCode="0.000">
                  <c:v>28666.6666666667</c:v>
                </c:pt>
                <c:pt idx="19" c:formatCode="0.000">
                  <c:v>29000</c:v>
                </c:pt>
                <c:pt idx="20" c:formatCode="0.000">
                  <c:v>30000</c:v>
                </c:pt>
                <c:pt idx="21" c:formatCode="0.000">
                  <c:v>31000</c:v>
                </c:pt>
                <c:pt idx="22" c:formatCode="0.000">
                  <c:v>32000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02144272"/>
        <c:axId val="1155824759"/>
      </c:lineChart>
      <c:catAx>
        <c:axId val="170214427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55824759"/>
        <c:crosses val="autoZero"/>
        <c:auto val="1"/>
        <c:lblAlgn val="ctr"/>
        <c:lblOffset val="100"/>
        <c:noMultiLvlLbl val="0"/>
      </c:catAx>
      <c:valAx>
        <c:axId val="11558247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ru-RU" sz="14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Доход</a:t>
                </a:r>
                <a:endParaRPr sz="1400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0214427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24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4bed7a-0501-4119-b968-591c1339b84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638175</xdr:colOff>
      <xdr:row>39</xdr:row>
      <xdr:rowOff>95250</xdr:rowOff>
    </xdr:from>
    <xdr:ext cx="5715000" cy="3533775"/>
    <xdr:graphicFrame>
      <xdr:nvGraphicFramePr>
        <xdr:cNvPr id="1564811355" name="Chart 1" title="Диаграмма"/>
        <xdr:cNvGraphicFramePr/>
      </xdr:nvGraphicFramePr>
      <xdr:xfrm>
        <a:off x="638175" y="78581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561975</xdr:colOff>
      <xdr:row>34</xdr:row>
      <xdr:rowOff>47625</xdr:rowOff>
    </xdr:from>
    <xdr:ext cx="8029575" cy="3248025"/>
    <xdr:pic>
      <xdr:nvPicPr>
        <xdr:cNvPr id="4" name="image14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22393275" y="6810375"/>
          <a:ext cx="8029575" cy="32480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1143000</xdr:colOff>
      <xdr:row>114</xdr:row>
      <xdr:rowOff>9525</xdr:rowOff>
    </xdr:from>
    <xdr:ext cx="2076450" cy="581025"/>
    <xdr:pic>
      <xdr:nvPicPr>
        <xdr:cNvPr id="8" name="image16.png" title="Изображение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5638800" y="22774275"/>
          <a:ext cx="20764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742950</xdr:colOff>
      <xdr:row>31</xdr:row>
      <xdr:rowOff>114300</xdr:rowOff>
    </xdr:from>
    <xdr:ext cx="2076450" cy="581025"/>
    <xdr:pic>
      <xdr:nvPicPr>
        <xdr:cNvPr id="10" name="image16.png" title="Изображение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3677900" y="6276975"/>
          <a:ext cx="20764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28</xdr:row>
      <xdr:rowOff>9525</xdr:rowOff>
    </xdr:from>
    <xdr:ext cx="8725535" cy="273685"/>
    <xdr:sp>
      <xdr:nvSpPr>
        <xdr:cNvPr id="11" name="Текстовое поле 10"/>
        <xdr:cNvSpPr txBox="1"/>
      </xdr:nvSpPr>
      <xdr:spPr>
        <a:xfrm>
          <a:off x="838200" y="5572125"/>
          <a:ext cx="87255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ПЕРВОЕ - Отчетные данные рядов динамики (С, D, s), накопленные за предшествующие 24 месяца, выровнять методом «скользящая средняя»</a:t>
          </a:r>
          <a:endParaRPr lang="ru-RU" altLang="en-US" sz="1100"/>
        </a:p>
      </xdr:txBody>
    </xdr:sp>
    <xdr:clientData/>
  </xdr:oneCellAnchor>
  <xdr:oneCellAnchor>
    <xdr:from>
      <xdr:col>1</xdr:col>
      <xdr:colOff>304800</xdr:colOff>
      <xdr:row>31</xdr:row>
      <xdr:rowOff>180975</xdr:rowOff>
    </xdr:from>
    <xdr:ext cx="8172450" cy="273685"/>
    <xdr:sp>
      <xdr:nvSpPr>
        <xdr:cNvPr id="12" name="Текстовое поле 11"/>
        <xdr:cNvSpPr txBox="1"/>
      </xdr:nvSpPr>
      <xdr:spPr>
        <a:xfrm>
          <a:off x="962025" y="6343650"/>
          <a:ext cx="817245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ВТОРОЕ - Построить по (1.2) ФС как степенную связь между объемом спроса, доходом потребителя и ценой приобретаемого товара. </a:t>
          </a:r>
          <a:endParaRPr lang="ru-RU" altLang="en-US" sz="1100"/>
        </a:p>
      </xdr:txBody>
    </xdr:sp>
    <xdr:clientData/>
  </xdr:oneCellAnchor>
  <xdr:oneCellAnchor>
    <xdr:from>
      <xdr:col>1</xdr:col>
      <xdr:colOff>123825</xdr:colOff>
      <xdr:row>36</xdr:row>
      <xdr:rowOff>133350</xdr:rowOff>
    </xdr:from>
    <xdr:ext cx="11135995" cy="456565"/>
    <xdr:sp>
      <xdr:nvSpPr>
        <xdr:cNvPr id="13" name="Текстовое поле 12"/>
        <xdr:cNvSpPr txBox="1"/>
      </xdr:nvSpPr>
      <xdr:spPr>
        <a:xfrm>
          <a:off x="781050" y="7296150"/>
          <a:ext cx="11135995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ПЯТОЕ- Задать 3 новых значения параметров-аргументов (D, s), сравнимые по абсолютному значению с соответствующими исходными данными 24-го месяца, и на базе построенной </a:t>
          </a:r>
          <a:endParaRPr lang="ru-RU" altLang="en-US" sz="1100"/>
        </a:p>
        <a:p>
          <a:pPr algn="l"/>
          <a:r>
            <a:rPr lang="ru-RU" altLang="en-US" sz="1100"/>
            <a:t>ФС рассчитать значения параметра-функции С на 1-й квартал (месяцы №1, № 2, № 3) планового года</a:t>
          </a:r>
          <a:endParaRPr lang="ru-RU" altLang="en-US" sz="1100"/>
        </a:p>
      </xdr:txBody>
    </xdr:sp>
    <xdr:clientData/>
  </xdr:oneCellAnchor>
  <xdr:oneCellAnchor>
    <xdr:from>
      <xdr:col>1</xdr:col>
      <xdr:colOff>123825</xdr:colOff>
      <xdr:row>104</xdr:row>
      <xdr:rowOff>85725</xdr:rowOff>
    </xdr:from>
    <xdr:ext cx="8172450" cy="456565"/>
    <xdr:sp>
      <xdr:nvSpPr>
        <xdr:cNvPr id="15" name="Текстовое поле 14"/>
        <xdr:cNvSpPr txBox="1"/>
      </xdr:nvSpPr>
      <xdr:spPr>
        <a:xfrm>
          <a:off x="781050" y="20850225"/>
          <a:ext cx="8172450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>
              <a:sym typeface="+mn-ea"/>
            </a:rPr>
            <a:t>ВТОРОЕ - Построить по (1.2) ФС как степенную связь между объемом спроса, доходом потребителя и ценой приобретаемого товара. 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1</xdr:col>
      <xdr:colOff>29210</xdr:colOff>
      <xdr:row>111</xdr:row>
      <xdr:rowOff>152400</xdr:rowOff>
    </xdr:from>
    <xdr:ext cx="11260455" cy="456565"/>
    <xdr:sp>
      <xdr:nvSpPr>
        <xdr:cNvPr id="16" name="Текстовое поле 15"/>
        <xdr:cNvSpPr txBox="1"/>
      </xdr:nvSpPr>
      <xdr:spPr>
        <a:xfrm>
          <a:off x="686435" y="22317075"/>
          <a:ext cx="11260455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ТРЕТЬЕ - Найти коэффициенты предельной эффективности спроса по цене и доходу При расчетах использовать среднеарифметические эффективности спроса по цене,</a:t>
          </a:r>
          <a:endParaRPr lang="ru-RU" altLang="en-US" sz="1100"/>
        </a:p>
        <a:p>
          <a:pPr algn="l"/>
          <a:r>
            <a:rPr lang="ru-RU" altLang="en-US" sz="1100"/>
            <a:t> доходу и их коэффициенты эластичности. На основании полученных значений коэффициентов предельной эффективности спроса провести оценку значимости товара для потребителя.</a:t>
          </a:r>
          <a:endParaRPr lang="ru-RU" altLang="en-US" sz="1100"/>
        </a:p>
      </xdr:txBody>
    </xdr:sp>
    <xdr:clientData/>
  </xdr:oneCellAnchor>
  <xdr:oneCellAnchor>
    <xdr:from>
      <xdr:col>1</xdr:col>
      <xdr:colOff>76200</xdr:colOff>
      <xdr:row>117</xdr:row>
      <xdr:rowOff>123825</xdr:rowOff>
    </xdr:from>
    <xdr:ext cx="4134485" cy="273685"/>
    <xdr:sp>
      <xdr:nvSpPr>
        <xdr:cNvPr id="17" name="Текстовое поле 16"/>
        <xdr:cNvSpPr txBox="1"/>
      </xdr:nvSpPr>
      <xdr:spPr>
        <a:xfrm>
          <a:off x="733425" y="23488650"/>
          <a:ext cx="413448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Находим средние значения (расчет предельных эффективностей )</a:t>
          </a:r>
          <a:endParaRPr lang="ru-RU" altLang="en-US" sz="1100"/>
        </a:p>
      </xdr:txBody>
    </xdr:sp>
    <xdr:clientData/>
  </xdr:oneCellAnchor>
  <xdr:oneCellAnchor>
    <xdr:from>
      <xdr:col>1</xdr:col>
      <xdr:colOff>219075</xdr:colOff>
      <xdr:row>126</xdr:row>
      <xdr:rowOff>114300</xdr:rowOff>
    </xdr:from>
    <xdr:ext cx="5789930" cy="456565"/>
    <xdr:sp>
      <xdr:nvSpPr>
        <xdr:cNvPr id="18" name="Текстовое поле 17"/>
        <xdr:cNvSpPr txBox="1"/>
      </xdr:nvSpPr>
      <xdr:spPr>
        <a:xfrm>
          <a:off x="876300" y="25279350"/>
          <a:ext cx="5789930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ЧЕТВЁРТОЕ - Объяснить экономический смысл коэффициентов эластичности спроса по цене и</a:t>
          </a:r>
          <a:endParaRPr lang="ru-RU" altLang="en-US" sz="1100"/>
        </a:p>
        <a:p>
          <a:pPr algn="l"/>
          <a:r>
            <a:rPr lang="ru-RU" altLang="en-US" sz="1100"/>
            <a:t>доходу, влияние динамики дохода и цены на динамику спроса.</a:t>
          </a:r>
          <a:endParaRPr lang="ru-RU" altLang="en-US" sz="1100"/>
        </a:p>
      </xdr:txBody>
    </xdr:sp>
    <xdr:clientData/>
  </xdr:oneCellAnchor>
  <xdr:oneCellAnchor>
    <xdr:from>
      <xdr:col>1</xdr:col>
      <xdr:colOff>143510</xdr:colOff>
      <xdr:row>129</xdr:row>
      <xdr:rowOff>85725</xdr:rowOff>
    </xdr:from>
    <xdr:ext cx="5690870" cy="273685"/>
    <xdr:sp>
      <xdr:nvSpPr>
        <xdr:cNvPr id="19" name="Текстовое поле 18"/>
        <xdr:cNvSpPr txBox="1"/>
      </xdr:nvSpPr>
      <xdr:spPr>
        <a:xfrm>
          <a:off x="800735" y="25850850"/>
          <a:ext cx="569087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Эластичность спроса по цене показывает величину изменения спроса при росте цены на 1%</a:t>
          </a:r>
          <a:endParaRPr lang="ru-RU" altLang="en-US" sz="1100"/>
        </a:p>
      </xdr:txBody>
    </xdr:sp>
    <xdr:clientData/>
  </xdr:oneCellAnchor>
  <xdr:oneCellAnchor>
    <xdr:from>
      <xdr:col>0</xdr:col>
      <xdr:colOff>609600</xdr:colOff>
      <xdr:row>145</xdr:row>
      <xdr:rowOff>104775</xdr:rowOff>
    </xdr:from>
    <xdr:ext cx="9880600" cy="639445"/>
    <xdr:sp>
      <xdr:nvSpPr>
        <xdr:cNvPr id="21" name="Текстовое поле 20"/>
        <xdr:cNvSpPr txBox="1"/>
      </xdr:nvSpPr>
      <xdr:spPr>
        <a:xfrm>
          <a:off x="609600" y="29070300"/>
          <a:ext cx="9880600" cy="6394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Вывод</a:t>
          </a:r>
          <a:r>
            <a:rPr lang="en-US" altLang="ru-RU" sz="1100"/>
            <a:t>:</a:t>
          </a:r>
          <a:endParaRPr lang="ru-RU" altLang="en-US" sz="1100"/>
        </a:p>
        <a:p>
          <a:pPr algn="l"/>
          <a:r>
            <a:rPr lang="ru-RU" altLang="en-US" sz="1100"/>
            <a:t>Товар является неэластичным по цене (спрос слабо реагирует на изменение цены, потребители продолжают покупать товар даже при её росте). </a:t>
          </a:r>
          <a:endParaRPr lang="ru-RU" altLang="en-US" sz="1100"/>
        </a:p>
        <a:p>
          <a:pPr algn="l"/>
          <a:r>
            <a:rPr lang="ru-RU" altLang="en-US" sz="1100"/>
            <a:t>По доходу товар является низкокачественным, поскольку при росте доходов потребители сокращают его потребление, предпочитая более качественные товары.</a:t>
          </a:r>
          <a:endParaRPr lang="ru-RU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3"/>
  <sheetViews>
    <sheetView tabSelected="1" zoomScale="70" zoomScaleNormal="70" topLeftCell="A107" workbookViewId="0">
      <selection activeCell="G136" sqref="G136"/>
    </sheetView>
  </sheetViews>
  <sheetFormatPr defaultColWidth="14.4285714285714" defaultRowHeight="15" customHeight="1"/>
  <cols>
    <col min="1" max="1" width="9.85714285714286" style="1" customWidth="1"/>
    <col min="2" max="2" width="27" style="1" customWidth="1"/>
    <col min="3" max="3" width="30.5714285714286" style="1" customWidth="1"/>
    <col min="4" max="6" width="19.4285714285714" style="1" customWidth="1"/>
    <col min="7" max="7" width="20.8571428571429" style="1" customWidth="1"/>
    <col min="8" max="8" width="21.7142857142857" style="1" customWidth="1"/>
    <col min="9" max="9" width="25.7142857142857" style="1" customWidth="1"/>
    <col min="10" max="10" width="24.8571428571429" style="1" customWidth="1"/>
    <col min="11" max="21" width="21.7142857142857" style="1" customWidth="1"/>
    <col min="22" max="22" width="19" style="1" customWidth="1"/>
    <col min="23" max="23" width="13.7142857142857" style="1" customWidth="1"/>
    <col min="24" max="24" width="15.0952380952381" style="1" customWidth="1"/>
    <col min="25" max="30" width="8.71428571428571" style="1" customWidth="1"/>
    <col min="31" max="16384" width="14.4285714285714" style="1"/>
  </cols>
  <sheetData>
    <row r="1" spans="2:2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27" spans="2:21">
      <c r="B2" s="4" t="s">
        <v>0</v>
      </c>
      <c r="C2" s="3"/>
      <c r="D2" s="3"/>
      <c r="E2" s="3"/>
      <c r="F2" s="3"/>
      <c r="G2" s="3"/>
      <c r="H2" s="5" t="s">
        <v>1</v>
      </c>
      <c r="I2" s="3"/>
      <c r="J2" s="5"/>
      <c r="K2" s="40"/>
      <c r="L2" s="41"/>
      <c r="M2" s="3"/>
      <c r="N2" s="3"/>
      <c r="O2" s="3"/>
      <c r="P2" s="3"/>
      <c r="Q2" s="3"/>
      <c r="R2" s="3"/>
      <c r="S2" s="3"/>
      <c r="T2" s="3"/>
      <c r="U2" s="41">
        <v>2</v>
      </c>
    </row>
    <row r="3" spans="2:21">
      <c r="B3" s="3"/>
      <c r="C3" s="2" t="s">
        <v>2</v>
      </c>
      <c r="D3" s="2" t="s">
        <v>3</v>
      </c>
      <c r="E3" s="2"/>
      <c r="F3" s="2" t="s">
        <v>4</v>
      </c>
      <c r="G3" s="3"/>
      <c r="H3" s="6" t="s">
        <v>5</v>
      </c>
      <c r="I3" s="42"/>
      <c r="J3" s="42"/>
      <c r="K3" s="43"/>
      <c r="L3" s="44"/>
      <c r="M3" s="3"/>
      <c r="N3" s="3"/>
      <c r="O3" s="3"/>
      <c r="P3" s="3"/>
      <c r="Q3" s="3"/>
      <c r="R3" s="3"/>
      <c r="S3" s="3"/>
      <c r="T3" s="3"/>
      <c r="U3" s="44"/>
    </row>
    <row r="4" spans="2:24"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8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  <c r="T4" s="9" t="s">
        <v>24</v>
      </c>
      <c r="U4" s="56" t="s">
        <v>25</v>
      </c>
      <c r="V4" s="45" t="s">
        <v>26</v>
      </c>
      <c r="W4" s="45" t="s">
        <v>27</v>
      </c>
      <c r="X4" s="45" t="s">
        <v>28</v>
      </c>
    </row>
    <row r="5" spans="2:24">
      <c r="B5" s="7">
        <v>1</v>
      </c>
      <c r="C5" s="7">
        <v>270</v>
      </c>
      <c r="D5" s="7">
        <v>97950</v>
      </c>
      <c r="E5" s="10">
        <v>144000</v>
      </c>
      <c r="F5" s="11">
        <v>25800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56"/>
      <c r="V5" s="45"/>
      <c r="W5" s="45"/>
      <c r="X5" s="45"/>
    </row>
    <row r="6" spans="2:24">
      <c r="B6" s="7">
        <v>2</v>
      </c>
      <c r="C6" s="7">
        <v>270</v>
      </c>
      <c r="D6" s="7">
        <v>98350</v>
      </c>
      <c r="E6" s="10">
        <v>157600</v>
      </c>
      <c r="F6" s="11">
        <v>25875</v>
      </c>
      <c r="G6" s="8" t="s">
        <v>29</v>
      </c>
      <c r="H6" s="12">
        <f>AVERAGE(C5:C7)</f>
        <v>260</v>
      </c>
      <c r="I6" s="12">
        <f>AVERAGE(D5:D7)</f>
        <v>104200</v>
      </c>
      <c r="J6" s="12">
        <f>AVERAGE(F5:F7)</f>
        <v>25891.6666666667</v>
      </c>
      <c r="K6" s="45">
        <f>AVERAGE(E5:E7)</f>
        <v>170560</v>
      </c>
      <c r="L6" s="12">
        <f>LN(H6)</f>
        <v>5.56068163101553</v>
      </c>
      <c r="M6" s="12">
        <f t="shared" ref="L6:N6" si="0">LN(I6)</f>
        <v>11.5540674083014</v>
      </c>
      <c r="N6" s="46">
        <f>LN(J6)</f>
        <v>10.1616764455931</v>
      </c>
      <c r="O6" s="47">
        <f>LN(K6)</f>
        <v>12.0468424199596</v>
      </c>
      <c r="P6" s="48">
        <f>N6*N6</f>
        <v>103.259668184922</v>
      </c>
      <c r="Q6" s="12">
        <f t="shared" ref="Q6:Q27" si="1">L6*L6</f>
        <v>30.9211802015135</v>
      </c>
      <c r="R6" s="12">
        <f>O6*O6</f>
        <v>145.126412291339</v>
      </c>
      <c r="S6" s="12">
        <f t="shared" ref="S6:S27" si="2">N6*L6</f>
        <v>56.5058475513329</v>
      </c>
      <c r="T6" s="12">
        <f t="shared" ref="T6:T27" si="3">M6*N6</f>
        <v>117.408694633732</v>
      </c>
      <c r="U6" s="46">
        <f t="shared" ref="U6:U27" si="4">M6*L6</f>
        <v>64.2484904008568</v>
      </c>
      <c r="V6" s="57">
        <f>O6*L6</f>
        <v>66.9886553564081</v>
      </c>
      <c r="W6" s="57">
        <f>M6*O6</f>
        <v>139.190029377398</v>
      </c>
      <c r="X6" s="57">
        <f>O6*N6</f>
        <v>122.416114862676</v>
      </c>
    </row>
    <row r="7" spans="2:24">
      <c r="B7" s="7">
        <v>3</v>
      </c>
      <c r="C7" s="7">
        <v>240</v>
      </c>
      <c r="D7" s="11">
        <v>116300</v>
      </c>
      <c r="E7" s="10">
        <v>210080</v>
      </c>
      <c r="F7" s="11">
        <v>26000</v>
      </c>
      <c r="G7" s="8" t="s">
        <v>30</v>
      </c>
      <c r="H7" s="12">
        <f>AVERAGE(C6:C8)</f>
        <v>250</v>
      </c>
      <c r="I7" s="12">
        <f>AVERAGE(D6:D8)</f>
        <v>110323.333333333</v>
      </c>
      <c r="J7" s="12">
        <f>AVERAGE(F6:F8)</f>
        <v>25958.3333333333</v>
      </c>
      <c r="K7" s="45">
        <f t="shared" ref="K7:K27" si="5">AVERAGE(E6:E8)</f>
        <v>195870</v>
      </c>
      <c r="L7" s="12">
        <f>LN(H7)</f>
        <v>5.52146091786225</v>
      </c>
      <c r="M7" s="12">
        <f t="shared" ref="L7:N7" si="6">LN(I7)</f>
        <v>11.6111707271425</v>
      </c>
      <c r="N7" s="46">
        <f t="shared" si="6"/>
        <v>10.1642479674216</v>
      </c>
      <c r="O7" s="47">
        <f t="shared" ref="O7:O27" si="7">LN(K7)</f>
        <v>12.1852064528488</v>
      </c>
      <c r="P7" s="48">
        <f t="shared" ref="P6:P27" si="8">N7*N7</f>
        <v>103.311936743235</v>
      </c>
      <c r="Q7" s="12">
        <f t="shared" si="1"/>
        <v>30.4865306674802</v>
      </c>
      <c r="R7" s="12">
        <f t="shared" ref="R7:R27" si="9">O7*O7</f>
        <v>148.479256298548</v>
      </c>
      <c r="S7" s="12">
        <f t="shared" si="2"/>
        <v>56.1214979115794</v>
      </c>
      <c r="T7" s="12">
        <f t="shared" si="3"/>
        <v>118.018818462743</v>
      </c>
      <c r="U7" s="46">
        <f t="shared" si="4"/>
        <v>64.1106253805432</v>
      </c>
      <c r="V7" s="57">
        <f t="shared" ref="V7:V27" si="10">O7*L7</f>
        <v>67.2801412054874</v>
      </c>
      <c r="W7" s="57">
        <f t="shared" ref="W7:W27" si="11">M7*O7</f>
        <v>141.484512469505</v>
      </c>
      <c r="X7" s="57">
        <f t="shared" ref="X7:X27" si="12">O7*N7</f>
        <v>123.853459920981</v>
      </c>
    </row>
    <row r="8" spans="2:24">
      <c r="B8" s="7">
        <v>4</v>
      </c>
      <c r="C8" s="7">
        <v>240</v>
      </c>
      <c r="D8" s="11">
        <v>116320</v>
      </c>
      <c r="E8" s="10">
        <v>219930</v>
      </c>
      <c r="F8" s="11">
        <v>26000</v>
      </c>
      <c r="G8" s="8" t="s">
        <v>31</v>
      </c>
      <c r="H8" s="12">
        <f>AVERAGE(C7:C9)</f>
        <v>259.333333333333</v>
      </c>
      <c r="I8" s="12">
        <f>AVERAGE(D7:D9)</f>
        <v>138140</v>
      </c>
      <c r="J8" s="12">
        <f>AVERAGE(F7:F9)</f>
        <v>26133.3333333333</v>
      </c>
      <c r="K8" s="45">
        <f t="shared" si="5"/>
        <v>231670</v>
      </c>
      <c r="L8" s="12">
        <f t="shared" ref="L8:N8" si="13">LN(H8)</f>
        <v>5.55811423551028</v>
      </c>
      <c r="M8" s="12">
        <f t="shared" si="13"/>
        <v>11.836022942643</v>
      </c>
      <c r="N8" s="46">
        <f t="shared" si="13"/>
        <v>10.1709669176704</v>
      </c>
      <c r="O8" s="47">
        <f t="shared" si="7"/>
        <v>12.3530692242645</v>
      </c>
      <c r="P8" s="48">
        <f t="shared" si="8"/>
        <v>103.448568040346</v>
      </c>
      <c r="Q8" s="12">
        <f t="shared" si="1"/>
        <v>30.892633854982</v>
      </c>
      <c r="R8" s="12">
        <f t="shared" si="9"/>
        <v>152.598319259471</v>
      </c>
      <c r="S8" s="12">
        <f t="shared" si="2"/>
        <v>56.5313960140079</v>
      </c>
      <c r="T8" s="12">
        <f t="shared" si="3"/>
        <v>120.383797786409</v>
      </c>
      <c r="U8" s="46">
        <f t="shared" si="4"/>
        <v>65.7859676093302</v>
      </c>
      <c r="V8" s="57">
        <f t="shared" si="10"/>
        <v>68.6597699076286</v>
      </c>
      <c r="W8" s="57">
        <f t="shared" si="11"/>
        <v>146.211210750452</v>
      </c>
      <c r="X8" s="57">
        <f t="shared" si="12"/>
        <v>125.642658411687</v>
      </c>
    </row>
    <row r="9" spans="2:24">
      <c r="B9" s="7">
        <v>5</v>
      </c>
      <c r="C9" s="7">
        <v>298</v>
      </c>
      <c r="D9" s="11">
        <v>181800</v>
      </c>
      <c r="E9" s="10">
        <v>265000</v>
      </c>
      <c r="F9" s="11">
        <v>26400</v>
      </c>
      <c r="G9" s="8" t="s">
        <v>32</v>
      </c>
      <c r="H9" s="12">
        <f>AVERAGE(C8:C10)</f>
        <v>266</v>
      </c>
      <c r="I9" s="12">
        <f>AVERAGE(D8:D10)</f>
        <v>173040</v>
      </c>
      <c r="J9" s="12">
        <f>AVERAGE(F8:F10)</f>
        <v>26533.3333333333</v>
      </c>
      <c r="K9" s="45">
        <f t="shared" si="5"/>
        <v>250573.333333333</v>
      </c>
      <c r="L9" s="12">
        <f t="shared" ref="L9:N9" si="14">LN(H9)</f>
        <v>5.5834963087817</v>
      </c>
      <c r="M9" s="12">
        <f t="shared" si="14"/>
        <v>12.0612780606269</v>
      </c>
      <c r="N9" s="46">
        <f t="shared" si="14"/>
        <v>10.1861570831644</v>
      </c>
      <c r="O9" s="47">
        <f t="shared" si="7"/>
        <v>12.4315069045024</v>
      </c>
      <c r="P9" s="48">
        <f t="shared" si="8"/>
        <v>103.7577961229</v>
      </c>
      <c r="Q9" s="12">
        <f t="shared" si="1"/>
        <v>31.1754310301789</v>
      </c>
      <c r="R9" s="12">
        <f t="shared" si="9"/>
        <v>154.542363916692</v>
      </c>
      <c r="S9" s="12">
        <f t="shared" si="2"/>
        <v>56.8743704745188</v>
      </c>
      <c r="T9" s="12">
        <f t="shared" si="3"/>
        <v>122.85807294927</v>
      </c>
      <c r="U9" s="46">
        <f t="shared" si="4"/>
        <v>67.3441015307002</v>
      </c>
      <c r="V9" s="57">
        <f t="shared" si="10"/>
        <v>69.4112729138835</v>
      </c>
      <c r="W9" s="57">
        <f t="shared" si="11"/>
        <v>149.939861487807</v>
      </c>
      <c r="X9" s="57">
        <f t="shared" si="12"/>
        <v>126.629282109704</v>
      </c>
    </row>
    <row r="10" spans="2:24">
      <c r="B10" s="7">
        <v>6</v>
      </c>
      <c r="C10" s="7">
        <v>260</v>
      </c>
      <c r="D10" s="11">
        <v>221000</v>
      </c>
      <c r="E10" s="10">
        <v>266790</v>
      </c>
      <c r="F10" s="11">
        <v>27200</v>
      </c>
      <c r="G10" s="8" t="s">
        <v>33</v>
      </c>
      <c r="H10" s="12">
        <f>AVERAGE(C9:C11)</f>
        <v>272.666666666667</v>
      </c>
      <c r="I10" s="12">
        <f>AVERAGE(D9:D11)</f>
        <v>226283.333333333</v>
      </c>
      <c r="J10" s="12">
        <f>AVERAGE(F9:F11)</f>
        <v>26950</v>
      </c>
      <c r="K10" s="45">
        <f t="shared" si="5"/>
        <v>268563.333333333</v>
      </c>
      <c r="L10" s="12">
        <f t="shared" ref="L10:N10" si="15">LN(H10)</f>
        <v>5.60825004793464</v>
      </c>
      <c r="M10" s="12">
        <f t="shared" si="15"/>
        <v>12.3295431803603</v>
      </c>
      <c r="N10" s="46">
        <f t="shared" si="15"/>
        <v>10.2017385763371</v>
      </c>
      <c r="O10" s="47">
        <f t="shared" si="7"/>
        <v>12.5008420434526</v>
      </c>
      <c r="P10" s="48">
        <f t="shared" si="8"/>
        <v>104.075469979925</v>
      </c>
      <c r="Q10" s="12">
        <f t="shared" si="1"/>
        <v>31.4524686001589</v>
      </c>
      <c r="R10" s="12">
        <f t="shared" si="9"/>
        <v>156.271051795351</v>
      </c>
      <c r="S10" s="12">
        <f t="shared" si="2"/>
        <v>57.2139008597594</v>
      </c>
      <c r="T10" s="12">
        <f t="shared" si="3"/>
        <v>125.782776291696</v>
      </c>
      <c r="U10" s="46">
        <f t="shared" si="4"/>
        <v>69.1471611322679</v>
      </c>
      <c r="V10" s="57">
        <f t="shared" si="10"/>
        <v>70.1078479894162</v>
      </c>
      <c r="W10" s="57">
        <f t="shared" si="11"/>
        <v>154.129671765612</v>
      </c>
      <c r="X10" s="57">
        <f t="shared" si="12"/>
        <v>127.530322511387</v>
      </c>
    </row>
    <row r="11" spans="2:24">
      <c r="B11" s="7">
        <v>7</v>
      </c>
      <c r="C11" s="7">
        <v>260</v>
      </c>
      <c r="D11" s="11">
        <v>276050</v>
      </c>
      <c r="E11" s="10">
        <v>273900</v>
      </c>
      <c r="F11" s="11">
        <v>27250</v>
      </c>
      <c r="G11" s="8" t="s">
        <v>34</v>
      </c>
      <c r="H11" s="12">
        <f>AVERAGE(C10:C12)</f>
        <v>260</v>
      </c>
      <c r="I11" s="12">
        <f>AVERAGE(D10:D12)</f>
        <v>262560</v>
      </c>
      <c r="J11" s="12">
        <f>AVERAGE(F10:F12)</f>
        <v>27241.6666666667</v>
      </c>
      <c r="K11" s="45">
        <f t="shared" si="5"/>
        <v>271530</v>
      </c>
      <c r="L11" s="12">
        <f t="shared" ref="L11:N11" si="16">LN(H11)</f>
        <v>5.56068163101553</v>
      </c>
      <c r="M11" s="12">
        <f t="shared" si="16"/>
        <v>12.4782349063239</v>
      </c>
      <c r="N11" s="46">
        <f t="shared" si="16"/>
        <v>10.2125029429243</v>
      </c>
      <c r="O11" s="47">
        <f t="shared" si="7"/>
        <v>12.5118279094893</v>
      </c>
      <c r="P11" s="48">
        <f t="shared" si="8"/>
        <v>104.295216359238</v>
      </c>
      <c r="Q11" s="12">
        <f t="shared" si="1"/>
        <v>30.9211802015135</v>
      </c>
      <c r="R11" s="12">
        <f t="shared" si="9"/>
        <v>156.545837636676</v>
      </c>
      <c r="S11" s="12">
        <f t="shared" si="2"/>
        <v>56.7884775214112</v>
      </c>
      <c r="T11" s="12">
        <f t="shared" si="3"/>
        <v>127.434010703334</v>
      </c>
      <c r="U11" s="46">
        <f t="shared" si="4"/>
        <v>69.3874916310922</v>
      </c>
      <c r="V11" s="57">
        <f t="shared" si="10"/>
        <v>69.5742916267247</v>
      </c>
      <c r="W11" s="57">
        <f t="shared" si="11"/>
        <v>156.125527762108</v>
      </c>
      <c r="X11" s="57">
        <f t="shared" si="12"/>
        <v>127.777079347022</v>
      </c>
    </row>
    <row r="12" spans="2:24">
      <c r="B12" s="7">
        <v>8</v>
      </c>
      <c r="C12" s="7">
        <v>260</v>
      </c>
      <c r="D12" s="11">
        <v>290630</v>
      </c>
      <c r="E12" s="10">
        <v>273900</v>
      </c>
      <c r="F12" s="11">
        <v>27275</v>
      </c>
      <c r="G12" s="8" t="s">
        <v>35</v>
      </c>
      <c r="H12" s="12">
        <f>AVERAGE(C11:C13)</f>
        <v>266.666666666667</v>
      </c>
      <c r="I12" s="12">
        <f>AVERAGE(D11:D13)</f>
        <v>266640</v>
      </c>
      <c r="J12" s="12">
        <f>AVERAGE(F11:F13)</f>
        <v>27275</v>
      </c>
      <c r="K12" s="45">
        <f t="shared" si="5"/>
        <v>269686.666666667</v>
      </c>
      <c r="L12" s="12">
        <f t="shared" ref="L12:N12" si="17">LN(H12)</f>
        <v>5.58599943899982</v>
      </c>
      <c r="M12" s="12">
        <f t="shared" si="17"/>
        <v>12.4936547129816</v>
      </c>
      <c r="N12" s="46">
        <f t="shared" si="17"/>
        <v>10.2137258107013</v>
      </c>
      <c r="O12" s="47">
        <f t="shared" si="7"/>
        <v>12.505016070259</v>
      </c>
      <c r="P12" s="48">
        <f t="shared" si="8"/>
        <v>104.320194936185</v>
      </c>
      <c r="Q12" s="12">
        <f t="shared" si="1"/>
        <v>31.2033897325063</v>
      </c>
      <c r="R12" s="12">
        <f t="shared" si="9"/>
        <v>156.375426917435</v>
      </c>
      <c r="S12" s="12">
        <f t="shared" si="2"/>
        <v>57.0538666486753</v>
      </c>
      <c r="T12" s="12">
        <f t="shared" si="3"/>
        <v>127.60676361197</v>
      </c>
      <c r="U12" s="46">
        <f t="shared" si="4"/>
        <v>69.7895482177728</v>
      </c>
      <c r="V12" s="57">
        <f t="shared" si="10"/>
        <v>69.8530127531503</v>
      </c>
      <c r="W12" s="57">
        <f t="shared" si="11"/>
        <v>156.233352962102</v>
      </c>
      <c r="X12" s="57">
        <f t="shared" si="12"/>
        <v>127.722805400038</v>
      </c>
    </row>
    <row r="13" spans="2:24">
      <c r="B13" s="7">
        <v>9</v>
      </c>
      <c r="C13" s="7">
        <v>280</v>
      </c>
      <c r="D13" s="11">
        <v>233240</v>
      </c>
      <c r="E13" s="10">
        <v>261260</v>
      </c>
      <c r="F13" s="10">
        <v>27300</v>
      </c>
      <c r="G13" s="8" t="s">
        <v>36</v>
      </c>
      <c r="H13" s="12">
        <f>AVERAGE(C12:C14)</f>
        <v>276.666666666667</v>
      </c>
      <c r="I13" s="12">
        <f>AVERAGE(D12:D14)</f>
        <v>253270</v>
      </c>
      <c r="J13" s="12">
        <f>AVERAGE(F12:F14)</f>
        <v>27291.6666666667</v>
      </c>
      <c r="K13" s="45">
        <f t="shared" si="5"/>
        <v>271388.333333333</v>
      </c>
      <c r="L13" s="12">
        <f t="shared" ref="L13:N13" si="18">LN(H13)</f>
        <v>5.62281341212253</v>
      </c>
      <c r="M13" s="12">
        <f t="shared" si="18"/>
        <v>12.4422113923392</v>
      </c>
      <c r="N13" s="46">
        <f t="shared" si="18"/>
        <v>10.2143366842694</v>
      </c>
      <c r="O13" s="47">
        <f t="shared" si="7"/>
        <v>12.5113060384779</v>
      </c>
      <c r="P13" s="48">
        <f t="shared" si="8"/>
        <v>104.332673899612</v>
      </c>
      <c r="Q13" s="12">
        <f t="shared" si="1"/>
        <v>31.6160306675451</v>
      </c>
      <c r="R13" s="12">
        <f t="shared" si="9"/>
        <v>156.532778788452</v>
      </c>
      <c r="S13" s="12">
        <f t="shared" si="2"/>
        <v>57.4333093042454</v>
      </c>
      <c r="T13" s="12">
        <f t="shared" si="3"/>
        <v>127.088936258205</v>
      </c>
      <c r="U13" s="46">
        <f t="shared" si="4"/>
        <v>69.9602330933086</v>
      </c>
      <c r="V13" s="57">
        <f t="shared" si="10"/>
        <v>70.3487393963229</v>
      </c>
      <c r="W13" s="57">
        <f t="shared" si="11"/>
        <v>155.668314524991</v>
      </c>
      <c r="X13" s="57">
        <f t="shared" si="12"/>
        <v>127.794692236946</v>
      </c>
    </row>
    <row r="14" spans="2:24">
      <c r="B14" s="7">
        <v>10</v>
      </c>
      <c r="C14" s="7">
        <v>290</v>
      </c>
      <c r="D14" s="11">
        <v>235940</v>
      </c>
      <c r="E14" s="10">
        <v>279005</v>
      </c>
      <c r="F14" s="10">
        <v>27300</v>
      </c>
      <c r="G14" s="8" t="s">
        <v>37</v>
      </c>
      <c r="H14" s="12">
        <f>AVERAGE(C13:C15)</f>
        <v>286.666666666667</v>
      </c>
      <c r="I14" s="12">
        <f>AVERAGE(D13:D15)</f>
        <v>237566.666666667</v>
      </c>
      <c r="J14" s="12">
        <f>AVERAGE(F13:F15)</f>
        <v>27333.3333333333</v>
      </c>
      <c r="K14" s="45">
        <f t="shared" si="5"/>
        <v>276425</v>
      </c>
      <c r="L14" s="12">
        <f t="shared" ref="L14:N14" si="19">LN(H14)</f>
        <v>5.65832010057944</v>
      </c>
      <c r="M14" s="12">
        <f t="shared" si="19"/>
        <v>12.3782035648219</v>
      </c>
      <c r="N14" s="46">
        <f t="shared" si="19"/>
        <v>10.2158622375783</v>
      </c>
      <c r="O14" s="47">
        <f t="shared" si="7"/>
        <v>12.5296948154106</v>
      </c>
      <c r="P14" s="48">
        <f t="shared" si="8"/>
        <v>104.363841257178</v>
      </c>
      <c r="Q14" s="12">
        <f t="shared" si="1"/>
        <v>32.0165863606214</v>
      </c>
      <c r="R14" s="12">
        <f t="shared" si="9"/>
        <v>156.993252167327</v>
      </c>
      <c r="S14" s="12">
        <f t="shared" si="2"/>
        <v>57.8046186436397</v>
      </c>
      <c r="T14" s="12">
        <f t="shared" si="3"/>
        <v>126.45402236692</v>
      </c>
      <c r="U14" s="46">
        <f t="shared" si="4"/>
        <v>70.0398380398956</v>
      </c>
      <c r="V14" s="57">
        <f t="shared" si="10"/>
        <v>70.8970240281639</v>
      </c>
      <c r="W14" s="57">
        <f t="shared" si="11"/>
        <v>155.095113030245</v>
      </c>
      <c r="X14" s="57">
        <f t="shared" si="12"/>
        <v>128.001636113134</v>
      </c>
    </row>
    <row r="15" spans="2:24">
      <c r="B15" s="7">
        <v>11</v>
      </c>
      <c r="C15" s="7">
        <v>290</v>
      </c>
      <c r="D15" s="11">
        <v>243520</v>
      </c>
      <c r="E15" s="10">
        <v>289010</v>
      </c>
      <c r="F15" s="10">
        <v>27400</v>
      </c>
      <c r="G15" s="8" t="s">
        <v>38</v>
      </c>
      <c r="H15" s="12">
        <f>AVERAGE(C14:C16)</f>
        <v>290</v>
      </c>
      <c r="I15" s="12">
        <f>AVERAGE(D14:D16)</f>
        <v>245483.333333333</v>
      </c>
      <c r="J15" s="12">
        <f>AVERAGE(F14:F16)</f>
        <v>27400</v>
      </c>
      <c r="K15" s="45">
        <f t="shared" si="5"/>
        <v>278051.666666667</v>
      </c>
      <c r="L15" s="12">
        <f t="shared" ref="L15:N15" si="20">LN(H15)</f>
        <v>5.66988092298052</v>
      </c>
      <c r="M15" s="12">
        <f t="shared" si="20"/>
        <v>12.4109843352496</v>
      </c>
      <c r="N15" s="46">
        <f t="shared" si="20"/>
        <v>10.2182982923762</v>
      </c>
      <c r="O15" s="47">
        <f t="shared" si="7"/>
        <v>12.5355622267235</v>
      </c>
      <c r="P15" s="48">
        <f t="shared" si="8"/>
        <v>104.413619991978</v>
      </c>
      <c r="Q15" s="12">
        <f t="shared" si="1"/>
        <v>32.1475496807784</v>
      </c>
      <c r="R15" s="12">
        <f t="shared" si="9"/>
        <v>157.140320340057</v>
      </c>
      <c r="S15" s="12">
        <f t="shared" si="2"/>
        <v>57.936534553268</v>
      </c>
      <c r="T15" s="12">
        <f t="shared" si="3"/>
        <v>126.819140039588</v>
      </c>
      <c r="U15" s="46">
        <f t="shared" si="4"/>
        <v>70.3688033178417</v>
      </c>
      <c r="V15" s="57">
        <f t="shared" si="10"/>
        <v>71.0751451281348</v>
      </c>
      <c r="W15" s="57">
        <f t="shared" si="11"/>
        <v>155.578666429412</v>
      </c>
      <c r="X15" s="57">
        <f t="shared" si="12"/>
        <v>128.092114095304</v>
      </c>
    </row>
    <row r="16" spans="2:24">
      <c r="B16" s="7">
        <v>12</v>
      </c>
      <c r="C16" s="7">
        <v>290</v>
      </c>
      <c r="D16" s="11">
        <v>256990</v>
      </c>
      <c r="E16" s="10">
        <v>266140</v>
      </c>
      <c r="F16" s="10">
        <v>27500</v>
      </c>
      <c r="G16" s="8" t="s">
        <v>39</v>
      </c>
      <c r="H16" s="12">
        <f>AVERAGE(C15:C17)</f>
        <v>276.666666666667</v>
      </c>
      <c r="I16" s="12">
        <f>AVERAGE(D15:D17)</f>
        <v>251530</v>
      </c>
      <c r="J16" s="12">
        <f>AVERAGE(F15:F17)</f>
        <v>27466.6666666667</v>
      </c>
      <c r="K16" s="45">
        <f t="shared" si="5"/>
        <v>262380</v>
      </c>
      <c r="L16" s="12">
        <f t="shared" ref="L16:N16" si="21">LN(H16)</f>
        <v>5.62281341212253</v>
      </c>
      <c r="M16" s="12">
        <f t="shared" si="21"/>
        <v>12.4353175457024</v>
      </c>
      <c r="N16" s="46">
        <f t="shared" si="21"/>
        <v>10.2207284272295</v>
      </c>
      <c r="O16" s="47">
        <f t="shared" si="7"/>
        <v>12.477549113635</v>
      </c>
      <c r="P16" s="48">
        <f t="shared" si="8"/>
        <v>104.463289583176</v>
      </c>
      <c r="Q16" s="12">
        <f t="shared" si="1"/>
        <v>31.6160306675451</v>
      </c>
      <c r="R16" s="12">
        <f t="shared" si="9"/>
        <v>155.689231883174</v>
      </c>
      <c r="S16" s="12">
        <f t="shared" si="2"/>
        <v>57.4692488822878</v>
      </c>
      <c r="T16" s="12">
        <f t="shared" si="3"/>
        <v>127.098003540985</v>
      </c>
      <c r="U16" s="46">
        <f t="shared" si="4"/>
        <v>69.9214702799779</v>
      </c>
      <c r="V16" s="57">
        <f t="shared" si="10"/>
        <v>70.1589305065646</v>
      </c>
      <c r="W16" s="57">
        <f t="shared" si="11"/>
        <v>155.162285420149</v>
      </c>
      <c r="X16" s="57">
        <f t="shared" si="12"/>
        <v>127.529640927881</v>
      </c>
    </row>
    <row r="17" spans="2:24">
      <c r="B17" s="7">
        <v>13</v>
      </c>
      <c r="C17" s="7">
        <v>250</v>
      </c>
      <c r="D17" s="11">
        <v>254080</v>
      </c>
      <c r="E17" s="10">
        <v>231990</v>
      </c>
      <c r="F17" s="10">
        <v>27500</v>
      </c>
      <c r="G17" s="8" t="s">
        <v>40</v>
      </c>
      <c r="H17" s="12">
        <f>AVERAGE(C16:C18)</f>
        <v>263.333333333333</v>
      </c>
      <c r="I17" s="12">
        <f>AVERAGE(D16:D18)</f>
        <v>257510</v>
      </c>
      <c r="J17" s="12">
        <f>AVERAGE(F16:F18)</f>
        <v>27666.6666666667</v>
      </c>
      <c r="K17" s="45">
        <f t="shared" si="5"/>
        <v>249366.666666667</v>
      </c>
      <c r="L17" s="12">
        <f t="shared" ref="L17:N17" si="22">LN(H17)</f>
        <v>5.57342065679296</v>
      </c>
      <c r="M17" s="12">
        <f t="shared" si="22"/>
        <v>12.4588138332833</v>
      </c>
      <c r="N17" s="46">
        <f t="shared" si="22"/>
        <v>10.2279835981106</v>
      </c>
      <c r="O17" s="47">
        <f t="shared" si="7"/>
        <v>12.4266796491924</v>
      </c>
      <c r="P17" s="48">
        <f t="shared" si="8"/>
        <v>104.61164848322</v>
      </c>
      <c r="Q17" s="12">
        <f t="shared" si="1"/>
        <v>31.0630178175664</v>
      </c>
      <c r="R17" s="12">
        <f t="shared" si="9"/>
        <v>154.422367103652</v>
      </c>
      <c r="S17" s="12">
        <f t="shared" si="2"/>
        <v>57.0048550630493</v>
      </c>
      <c r="T17" s="12">
        <f t="shared" si="3"/>
        <v>127.428543538736</v>
      </c>
      <c r="U17" s="46">
        <f t="shared" si="4"/>
        <v>69.4382103775591</v>
      </c>
      <c r="V17" s="57">
        <f t="shared" si="10"/>
        <v>69.2591130521575</v>
      </c>
      <c r="W17" s="57">
        <f t="shared" si="11"/>
        <v>154.821688315139</v>
      </c>
      <c r="X17" s="57">
        <f t="shared" si="12"/>
        <v>127.099875630915</v>
      </c>
    </row>
    <row r="18" spans="2:24">
      <c r="B18" s="7">
        <v>14</v>
      </c>
      <c r="C18" s="7">
        <v>250</v>
      </c>
      <c r="D18" s="11">
        <v>261460</v>
      </c>
      <c r="E18" s="10">
        <v>249970</v>
      </c>
      <c r="F18" s="10">
        <v>28000</v>
      </c>
      <c r="G18" s="8" t="s">
        <v>41</v>
      </c>
      <c r="H18" s="12">
        <f>AVERAGE(C17:C19)</f>
        <v>250</v>
      </c>
      <c r="I18" s="12">
        <f>AVERAGE(D17:D19)</f>
        <v>259583.333333333</v>
      </c>
      <c r="J18" s="12">
        <f>AVERAGE(F17:F19)</f>
        <v>27833.3333333333</v>
      </c>
      <c r="K18" s="45">
        <f t="shared" si="5"/>
        <v>250803.333333333</v>
      </c>
      <c r="L18" s="12">
        <f t="shared" ref="L18:N18" si="23">LN(H18)</f>
        <v>5.52146091786225</v>
      </c>
      <c r="M18" s="12">
        <f t="shared" si="23"/>
        <v>12.4668330604157</v>
      </c>
      <c r="N18" s="46">
        <f t="shared" si="23"/>
        <v>10.2339896221708</v>
      </c>
      <c r="O18" s="47">
        <f t="shared" si="7"/>
        <v>12.4324243784553</v>
      </c>
      <c r="P18" s="48">
        <f t="shared" si="8"/>
        <v>104.7345435867</v>
      </c>
      <c r="Q18" s="12">
        <f t="shared" si="1"/>
        <v>30.4865306674802</v>
      </c>
      <c r="R18" s="12">
        <f t="shared" si="9"/>
        <v>154.565175926011</v>
      </c>
      <c r="S18" s="12">
        <f t="shared" si="2"/>
        <v>56.5065737326241</v>
      </c>
      <c r="T18" s="12">
        <f t="shared" si="3"/>
        <v>127.58544016163</v>
      </c>
      <c r="U18" s="46">
        <f t="shared" si="4"/>
        <v>68.8351315125982</v>
      </c>
      <c r="V18" s="57">
        <f t="shared" si="10"/>
        <v>68.645145319919</v>
      </c>
      <c r="W18" s="57">
        <f t="shared" si="11"/>
        <v>154.992959262445</v>
      </c>
      <c r="X18" s="57">
        <f t="shared" si="12"/>
        <v>127.233302067536</v>
      </c>
    </row>
    <row r="19" spans="2:24">
      <c r="B19" s="7">
        <v>15</v>
      </c>
      <c r="C19" s="7">
        <v>250</v>
      </c>
      <c r="D19" s="11">
        <v>263210</v>
      </c>
      <c r="E19" s="10">
        <v>270450</v>
      </c>
      <c r="F19" s="10">
        <v>28000</v>
      </c>
      <c r="G19" s="8" t="s">
        <v>42</v>
      </c>
      <c r="H19" s="12">
        <f>AVERAGE(C18:C20)</f>
        <v>250</v>
      </c>
      <c r="I19" s="12">
        <f>AVERAGE(D18:D20)</f>
        <v>264456.666666667</v>
      </c>
      <c r="J19" s="12">
        <f>AVERAGE(F18:F20)</f>
        <v>28000</v>
      </c>
      <c r="K19" s="45">
        <f t="shared" si="5"/>
        <v>263623.333333333</v>
      </c>
      <c r="L19" s="12">
        <f t="shared" ref="L19:N19" si="24">LN(H19)</f>
        <v>5.52146091786225</v>
      </c>
      <c r="M19" s="12">
        <f t="shared" si="24"/>
        <v>12.4854326857308</v>
      </c>
      <c r="N19" s="46">
        <f t="shared" si="24"/>
        <v>10.2399597891573</v>
      </c>
      <c r="O19" s="47">
        <f t="shared" si="7"/>
        <v>12.4822765956495</v>
      </c>
      <c r="P19" s="48">
        <f t="shared" si="8"/>
        <v>104.856776483559</v>
      </c>
      <c r="Q19" s="12">
        <f t="shared" si="1"/>
        <v>30.4865306674802</v>
      </c>
      <c r="R19" s="12">
        <f t="shared" si="9"/>
        <v>155.807229010299</v>
      </c>
      <c r="S19" s="12">
        <f t="shared" si="2"/>
        <v>56.5395377763132</v>
      </c>
      <c r="T19" s="12">
        <f t="shared" si="3"/>
        <v>127.850328652114</v>
      </c>
      <c r="U19" s="46">
        <f t="shared" si="4"/>
        <v>68.9378286168624</v>
      </c>
      <c r="V19" s="57">
        <f t="shared" si="10"/>
        <v>68.9204023888254</v>
      </c>
      <c r="W19" s="57">
        <f t="shared" si="11"/>
        <v>155.846624199655</v>
      </c>
      <c r="X19" s="57">
        <f t="shared" si="12"/>
        <v>127.818010416591</v>
      </c>
    </row>
    <row r="20" spans="2:24">
      <c r="B20" s="7">
        <v>16</v>
      </c>
      <c r="C20" s="7">
        <v>250</v>
      </c>
      <c r="D20" s="11">
        <v>268700</v>
      </c>
      <c r="E20" s="10">
        <v>270450</v>
      </c>
      <c r="F20" s="10">
        <v>28000</v>
      </c>
      <c r="G20" s="8" t="s">
        <v>43</v>
      </c>
      <c r="H20" s="12">
        <f>AVERAGE(C19:C21)</f>
        <v>250</v>
      </c>
      <c r="I20" s="12">
        <f>AVERAGE(D19:D21)</f>
        <v>270176.666666667</v>
      </c>
      <c r="J20" s="12">
        <f>AVERAGE(F19:F21)</f>
        <v>28000</v>
      </c>
      <c r="K20" s="45">
        <f t="shared" si="5"/>
        <v>270450</v>
      </c>
      <c r="L20" s="12">
        <f t="shared" ref="L20:N20" si="25">LN(H20)</f>
        <v>5.52146091786225</v>
      </c>
      <c r="M20" s="12">
        <f t="shared" si="25"/>
        <v>12.5068313449935</v>
      </c>
      <c r="N20" s="46">
        <f t="shared" si="25"/>
        <v>10.2399597891573</v>
      </c>
      <c r="O20" s="47">
        <f t="shared" si="7"/>
        <v>12.5078425172996</v>
      </c>
      <c r="P20" s="48">
        <f t="shared" si="8"/>
        <v>104.856776483559</v>
      </c>
      <c r="Q20" s="12">
        <f t="shared" si="1"/>
        <v>30.4865306674802</v>
      </c>
      <c r="R20" s="12">
        <f t="shared" si="9"/>
        <v>156.446124437567</v>
      </c>
      <c r="S20" s="12">
        <f t="shared" si="2"/>
        <v>56.5395377763132</v>
      </c>
      <c r="T20" s="12">
        <f t="shared" si="3"/>
        <v>128.069450062506</v>
      </c>
      <c r="U20" s="46">
        <f t="shared" si="4"/>
        <v>69.0559804776762</v>
      </c>
      <c r="V20" s="57">
        <f t="shared" si="10"/>
        <v>69.0615636260453</v>
      </c>
      <c r="W20" s="57">
        <f t="shared" si="11"/>
        <v>156.433476853605</v>
      </c>
      <c r="X20" s="57">
        <f t="shared" si="12"/>
        <v>128.07980442626</v>
      </c>
    </row>
    <row r="21" ht="15.75" customHeight="1" spans="2:24">
      <c r="B21" s="7">
        <v>17</v>
      </c>
      <c r="C21" s="7">
        <v>250</v>
      </c>
      <c r="D21" s="11">
        <v>278620</v>
      </c>
      <c r="E21" s="10">
        <v>270450</v>
      </c>
      <c r="F21" s="10">
        <v>28000</v>
      </c>
      <c r="G21" s="8" t="s">
        <v>44</v>
      </c>
      <c r="H21" s="12">
        <f>AVERAGE(C20:C22)</f>
        <v>256</v>
      </c>
      <c r="I21" s="12">
        <f>AVERAGE(D20:D22)</f>
        <v>276430</v>
      </c>
      <c r="J21" s="12">
        <f>AVERAGE(F20:F22)</f>
        <v>28000</v>
      </c>
      <c r="K21" s="45">
        <f t="shared" si="5"/>
        <v>267836.666666667</v>
      </c>
      <c r="L21" s="12">
        <f t="shared" ref="L21:N21" si="26">LN(H21)</f>
        <v>5.54517744447956</v>
      </c>
      <c r="M21" s="12">
        <f t="shared" si="26"/>
        <v>12.529712903336</v>
      </c>
      <c r="N21" s="46">
        <f t="shared" si="26"/>
        <v>10.2399597891573</v>
      </c>
      <c r="O21" s="47">
        <f t="shared" si="7"/>
        <v>12.4981326209649</v>
      </c>
      <c r="P21" s="48">
        <f t="shared" si="8"/>
        <v>104.856776483559</v>
      </c>
      <c r="Q21" s="12">
        <f t="shared" si="1"/>
        <v>30.7489928907649</v>
      </c>
      <c r="R21" s="12">
        <f t="shared" si="9"/>
        <v>156.203319011226</v>
      </c>
      <c r="S21" s="12">
        <f t="shared" si="2"/>
        <v>56.782394055213</v>
      </c>
      <c r="T21" s="12">
        <f t="shared" si="3"/>
        <v>128.303756299847</v>
      </c>
      <c r="U21" s="46">
        <f t="shared" si="4"/>
        <v>69.4794813773834</v>
      </c>
      <c r="V21" s="57">
        <f t="shared" si="10"/>
        <v>69.3043631078886</v>
      </c>
      <c r="W21" s="57">
        <f t="shared" si="11"/>
        <v>156.598013568508</v>
      </c>
      <c r="X21" s="57">
        <f t="shared" si="12"/>
        <v>127.980375478236</v>
      </c>
    </row>
    <row r="22" ht="15.75" customHeight="1" spans="2:24">
      <c r="B22" s="7">
        <v>18</v>
      </c>
      <c r="C22" s="7">
        <v>268</v>
      </c>
      <c r="D22" s="11">
        <v>281970</v>
      </c>
      <c r="E22" s="10">
        <v>262610</v>
      </c>
      <c r="F22" s="10">
        <v>28000</v>
      </c>
      <c r="G22" s="8" t="s">
        <v>45</v>
      </c>
      <c r="H22" s="12">
        <f>AVERAGE(C21:C23)</f>
        <v>272.666666666667</v>
      </c>
      <c r="I22" s="12">
        <f>AVERAGE(D21:D23)</f>
        <v>282813.333333333</v>
      </c>
      <c r="J22" s="12">
        <f>AVERAGE(F21:F23)</f>
        <v>28333.3333333333</v>
      </c>
      <c r="K22" s="45">
        <f t="shared" si="5"/>
        <v>264391.666666667</v>
      </c>
      <c r="L22" s="12">
        <f t="shared" ref="L22:N22" si="27">LN(H22)</f>
        <v>5.60825004793464</v>
      </c>
      <c r="M22" s="12">
        <f t="shared" si="27"/>
        <v>12.552542359465</v>
      </c>
      <c r="N22" s="46">
        <f t="shared" si="27"/>
        <v>10.2517942468043</v>
      </c>
      <c r="O22" s="47">
        <f t="shared" si="7"/>
        <v>12.4851868685608</v>
      </c>
      <c r="P22" s="48">
        <f t="shared" si="8"/>
        <v>105.099285278811</v>
      </c>
      <c r="Q22" s="12">
        <f t="shared" si="1"/>
        <v>31.4524686001589</v>
      </c>
      <c r="R22" s="12">
        <f t="shared" si="9"/>
        <v>155.879891142883</v>
      </c>
      <c r="S22" s="12">
        <f t="shared" si="2"/>
        <v>57.4946255760565</v>
      </c>
      <c r="T22" s="12">
        <f t="shared" si="3"/>
        <v>128.686081543532</v>
      </c>
      <c r="U22" s="46">
        <f t="shared" si="4"/>
        <v>70.3977962891714</v>
      </c>
      <c r="V22" s="57">
        <f t="shared" si="10"/>
        <v>70.020049854079</v>
      </c>
      <c r="W22" s="57">
        <f t="shared" si="11"/>
        <v>156.720837033446</v>
      </c>
      <c r="X22" s="57">
        <f t="shared" si="12"/>
        <v>127.995566909389</v>
      </c>
    </row>
    <row r="23" ht="15.75" customHeight="1" spans="2:24">
      <c r="B23" s="7">
        <v>19</v>
      </c>
      <c r="C23" s="7">
        <v>300</v>
      </c>
      <c r="D23" s="11">
        <v>287850</v>
      </c>
      <c r="E23" s="10">
        <v>260115</v>
      </c>
      <c r="F23" s="10">
        <v>29000</v>
      </c>
      <c r="G23" s="8" t="s">
        <v>46</v>
      </c>
      <c r="H23" s="12">
        <f>AVERAGE(C22:C24)</f>
        <v>289.333333333333</v>
      </c>
      <c r="I23" s="12">
        <f>AVERAGE(D22:D24)</f>
        <v>285890</v>
      </c>
      <c r="J23" s="12">
        <f>AVERAGE(F22:F24)</f>
        <v>28666.6666666667</v>
      </c>
      <c r="K23" s="45">
        <f t="shared" si="5"/>
        <v>260946.666666667</v>
      </c>
      <c r="L23" s="12">
        <f t="shared" ref="L23:N23" si="28">LN(H23)</f>
        <v>5.66757942599224</v>
      </c>
      <c r="M23" s="12">
        <f t="shared" si="28"/>
        <v>12.5633624004339</v>
      </c>
      <c r="N23" s="46">
        <f t="shared" si="28"/>
        <v>10.2634902865675</v>
      </c>
      <c r="O23" s="47">
        <f t="shared" si="7"/>
        <v>12.4720713231508</v>
      </c>
      <c r="P23" s="48">
        <f t="shared" si="8"/>
        <v>105.339232862466</v>
      </c>
      <c r="Q23" s="12">
        <f t="shared" si="1"/>
        <v>32.1214565499305</v>
      </c>
      <c r="R23" s="12">
        <f t="shared" si="9"/>
        <v>155.55256308976</v>
      </c>
      <c r="S23" s="12">
        <f t="shared" si="2"/>
        <v>58.1691463870214</v>
      </c>
      <c r="T23" s="12">
        <f t="shared" si="3"/>
        <v>128.943947963481</v>
      </c>
      <c r="U23" s="46">
        <f t="shared" si="4"/>
        <v>71.2038542619837</v>
      </c>
      <c r="V23" s="57">
        <f t="shared" si="10"/>
        <v>70.6864548305973</v>
      </c>
      <c r="W23" s="57">
        <f t="shared" si="11"/>
        <v>156.691151916803</v>
      </c>
      <c r="X23" s="57">
        <f t="shared" si="12"/>
        <v>128.006982878536</v>
      </c>
    </row>
    <row r="24" ht="15.75" customHeight="1" spans="2:24">
      <c r="B24" s="13">
        <v>20</v>
      </c>
      <c r="C24" s="13">
        <v>300</v>
      </c>
      <c r="D24" s="14">
        <v>287850</v>
      </c>
      <c r="E24" s="10">
        <v>260115</v>
      </c>
      <c r="F24" s="10">
        <v>29000</v>
      </c>
      <c r="G24" s="15" t="s">
        <v>47</v>
      </c>
      <c r="H24" s="16">
        <f>AVERAGE(C23:C25)</f>
        <v>303.333333333333</v>
      </c>
      <c r="I24" s="16">
        <f>AVERAGE(D23:D25)</f>
        <v>289736.666666667</v>
      </c>
      <c r="J24" s="16">
        <f>AVERAGE(F23:F25)</f>
        <v>29000</v>
      </c>
      <c r="K24" s="45">
        <f t="shared" si="5"/>
        <v>262686.666666667</v>
      </c>
      <c r="L24" s="16">
        <f t="shared" ref="L24:N24" si="29">LN(H24)</f>
        <v>5.71483231084279</v>
      </c>
      <c r="M24" s="16">
        <f t="shared" si="29"/>
        <v>12.5767277434622</v>
      </c>
      <c r="N24" s="49">
        <f t="shared" si="29"/>
        <v>10.2750511089686</v>
      </c>
      <c r="O24" s="47">
        <f t="shared" si="7"/>
        <v>12.4787172194052</v>
      </c>
      <c r="P24" s="50">
        <f t="shared" si="8"/>
        <v>105.576675291917</v>
      </c>
      <c r="Q24" s="16">
        <f t="shared" si="1"/>
        <v>32.6593083410527</v>
      </c>
      <c r="R24" s="12">
        <f t="shared" si="9"/>
        <v>155.71838344188</v>
      </c>
      <c r="S24" s="16">
        <f t="shared" si="2"/>
        <v>58.7201940730948</v>
      </c>
      <c r="T24" s="16">
        <f t="shared" si="3"/>
        <v>129.226520347657</v>
      </c>
      <c r="U24" s="49">
        <f t="shared" si="4"/>
        <v>71.8738900730104</v>
      </c>
      <c r="V24" s="57">
        <f t="shared" si="10"/>
        <v>71.3137763633272</v>
      </c>
      <c r="W24" s="57">
        <f t="shared" si="11"/>
        <v>156.941429056113</v>
      </c>
      <c r="X24" s="57">
        <f t="shared" si="12"/>
        <v>128.219457203755</v>
      </c>
    </row>
    <row r="25" ht="15.75" customHeight="1" spans="2:24">
      <c r="B25" s="13">
        <v>21</v>
      </c>
      <c r="C25" s="13">
        <v>310</v>
      </c>
      <c r="D25" s="14">
        <v>293510</v>
      </c>
      <c r="E25" s="10">
        <v>267830</v>
      </c>
      <c r="F25" s="10">
        <v>29000</v>
      </c>
      <c r="G25" s="15" t="s">
        <v>48</v>
      </c>
      <c r="H25" s="16">
        <f>AVERAGE(C24:C26)</f>
        <v>353.333333333333</v>
      </c>
      <c r="I25" s="16">
        <f>AVERAGE(D24:D26)</f>
        <v>297495.333333333</v>
      </c>
      <c r="J25" s="16">
        <f>AVERAGE(F24:F26)</f>
        <v>30000</v>
      </c>
      <c r="K25" s="45">
        <f t="shared" si="5"/>
        <v>265108.333333333</v>
      </c>
      <c r="L25" s="16">
        <f>LN(H25)</f>
        <v>5.867411898438</v>
      </c>
      <c r="M25" s="16">
        <f>LN(I25)</f>
        <v>12.6031538175703</v>
      </c>
      <c r="N25" s="49">
        <f>LN(J25)</f>
        <v>10.3089526606443</v>
      </c>
      <c r="O25" s="47">
        <f t="shared" si="7"/>
        <v>12.4878938264618</v>
      </c>
      <c r="P25" s="50">
        <f>N25*N25</f>
        <v>106.274504959405</v>
      </c>
      <c r="Q25" s="16">
        <f>L25*L25</f>
        <v>34.4265223859319</v>
      </c>
      <c r="R25" s="12">
        <f t="shared" si="9"/>
        <v>155.947492220983</v>
      </c>
      <c r="S25" s="16">
        <f>N25*L25</f>
        <v>60.4868715014984</v>
      </c>
      <c r="T25" s="16">
        <f>M25*N25</f>
        <v>129.92531608015</v>
      </c>
      <c r="U25" s="49">
        <f>M25*L25</f>
        <v>73.9478946670562</v>
      </c>
      <c r="V25" s="57">
        <f t="shared" si="10"/>
        <v>73.2716168238124</v>
      </c>
      <c r="W25" s="57">
        <f t="shared" si="11"/>
        <v>157.386846752384</v>
      </c>
      <c r="X25" s="57">
        <f t="shared" si="12"/>
        <v>128.737106288147</v>
      </c>
    </row>
    <row r="26" ht="15.75" customHeight="1" spans="2:24">
      <c r="B26" s="13">
        <v>22</v>
      </c>
      <c r="C26" s="13">
        <v>450</v>
      </c>
      <c r="D26" s="14">
        <v>311126</v>
      </c>
      <c r="E26" s="10">
        <v>267380</v>
      </c>
      <c r="F26" s="10">
        <v>32000</v>
      </c>
      <c r="G26" s="15" t="s">
        <v>49</v>
      </c>
      <c r="H26" s="16">
        <f>AVERAGE(C25:C27)</f>
        <v>403.333333333333</v>
      </c>
      <c r="I26" s="16">
        <f>AVERAGE(D25:D27)</f>
        <v>305585.333333333</v>
      </c>
      <c r="J26" s="16">
        <f>AVERAGE(F25:F27)</f>
        <v>31000</v>
      </c>
      <c r="K26" s="45">
        <f t="shared" si="5"/>
        <v>273945</v>
      </c>
      <c r="L26" s="16">
        <f>LN(H26)</f>
        <v>5.99976334992268</v>
      </c>
      <c r="M26" s="16">
        <f>LN(I26)</f>
        <v>12.6299843421036</v>
      </c>
      <c r="N26" s="49">
        <f>LN(J26)</f>
        <v>10.3417424834673</v>
      </c>
      <c r="O26" s="47">
        <f t="shared" si="7"/>
        <v>12.5206826352943</v>
      </c>
      <c r="P26" s="50">
        <f>N26*N26</f>
        <v>106.951637594352</v>
      </c>
      <c r="Q26" s="16">
        <f>L26*L26</f>
        <v>35.9971602550754</v>
      </c>
      <c r="R26" s="12">
        <f t="shared" si="9"/>
        <v>156.767493653759</v>
      </c>
      <c r="S26" s="16">
        <f>N26*L26</f>
        <v>62.0480075266453</v>
      </c>
      <c r="T26" s="16">
        <f>M26*N26</f>
        <v>130.616045636259</v>
      </c>
      <c r="U26" s="49">
        <f>M26*L26</f>
        <v>75.7769171658505</v>
      </c>
      <c r="V26" s="57">
        <f t="shared" si="10"/>
        <v>75.1211327912517</v>
      </c>
      <c r="W26" s="57">
        <f t="shared" si="11"/>
        <v>158.136025636215</v>
      </c>
      <c r="X26" s="57">
        <f t="shared" si="12"/>
        <v>129.485675531434</v>
      </c>
    </row>
    <row r="27" ht="15.75" customHeight="1" spans="2:24">
      <c r="B27" s="13">
        <v>23</v>
      </c>
      <c r="C27" s="13">
        <v>450</v>
      </c>
      <c r="D27" s="14">
        <v>312120</v>
      </c>
      <c r="E27" s="10">
        <v>286625</v>
      </c>
      <c r="F27" s="10">
        <v>32000</v>
      </c>
      <c r="G27" s="15" t="s">
        <v>50</v>
      </c>
      <c r="H27" s="16">
        <f>AVERAGE(C26:C28)</f>
        <v>450</v>
      </c>
      <c r="I27" s="16">
        <f>AVERAGE(D26:D28)</f>
        <v>311623</v>
      </c>
      <c r="J27" s="16">
        <f>AVERAGE(F26:F28)</f>
        <v>32000</v>
      </c>
      <c r="K27" s="45">
        <f t="shared" si="5"/>
        <v>277002.5</v>
      </c>
      <c r="L27" s="16">
        <f>LN(H27)</f>
        <v>6.10924758276437</v>
      </c>
      <c r="M27" s="16">
        <f>LN(I27)</f>
        <v>12.6495494028349</v>
      </c>
      <c r="N27" s="49">
        <f>LN(J27)</f>
        <v>10.3734911817819</v>
      </c>
      <c r="O27" s="47">
        <f t="shared" si="7"/>
        <v>12.5317818103995</v>
      </c>
      <c r="P27" s="50">
        <f>N27*N27</f>
        <v>107.609319298506</v>
      </c>
      <c r="Q27" s="16">
        <f>L27*L27</f>
        <v>37.3229060275122</v>
      </c>
      <c r="R27" s="12">
        <f t="shared" si="9"/>
        <v>157.04555534346</v>
      </c>
      <c r="S27" s="16">
        <f>N27*L27</f>
        <v>63.3742259271283</v>
      </c>
      <c r="T27" s="16">
        <f>M27*N27</f>
        <v>131.219989183822</v>
      </c>
      <c r="U27" s="49">
        <f>M27*L27</f>
        <v>77.2792291123278</v>
      </c>
      <c r="V27" s="57">
        <f t="shared" si="10"/>
        <v>76.5597577329136</v>
      </c>
      <c r="W27" s="57">
        <f t="shared" si="11"/>
        <v>158.521393116197</v>
      </c>
      <c r="X27" s="57">
        <f t="shared" si="12"/>
        <v>129.998328102194</v>
      </c>
    </row>
    <row r="28" ht="15.75" customHeight="1" spans="2:21">
      <c r="B28" s="17"/>
      <c r="C28" s="18"/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5.75" customHeight="1" spans="2:21">
      <c r="B29" s="17"/>
      <c r="C29" s="18"/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5.75" customHeight="1" spans="2:21">
      <c r="B30" s="19"/>
      <c r="C30" s="19"/>
      <c r="D30" s="19"/>
      <c r="E30" s="19"/>
      <c r="F30" s="19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5.75" customHeight="1" spans="2:21">
      <c r="B31" s="21">
        <f>SUM(L6:L27)</f>
        <v>124.202577529679</v>
      </c>
      <c r="C31" s="21">
        <f>SUM(M6:M27)</f>
        <v>272.053632670122</v>
      </c>
      <c r="D31" s="21">
        <f>SUM(N6:N27)</f>
        <v>225.176615941253</v>
      </c>
      <c r="E31" s="21">
        <f>SUM(O6:O27)</f>
        <v>273.912112663857</v>
      </c>
      <c r="F31" s="21">
        <f>SUM(P6:P27)</f>
        <v>2304.80945190475</v>
      </c>
      <c r="G31" s="21">
        <f>SUM(Q6:Q27)</f>
        <v>701.700436535257</v>
      </c>
      <c r="H31" s="21">
        <f>SUM(S6:S27)</f>
        <v>1271.39903775968</v>
      </c>
      <c r="I31" s="21">
        <f>SUM(T6:T27)</f>
        <v>2784.80845611459</v>
      </c>
      <c r="J31" s="51">
        <f>SUM(U6:U27)</f>
        <v>1536.32994456507</v>
      </c>
      <c r="K31" s="52">
        <f>SUM(V6:V27)</f>
        <v>1546.5182067027</v>
      </c>
      <c r="L31" s="52">
        <f>SUM(W6:W27)</f>
        <v>3387.90899169029</v>
      </c>
      <c r="M31" s="52">
        <f>SUM(X6:X27)</f>
        <v>2803.64429086975</v>
      </c>
      <c r="N31" s="18"/>
      <c r="O31" s="18"/>
      <c r="P31" s="18"/>
      <c r="Q31" s="18"/>
      <c r="R31" s="18"/>
      <c r="S31" s="18"/>
      <c r="T31" s="18"/>
      <c r="U31" s="18"/>
    </row>
    <row r="32" ht="15.75" customHeight="1" spans="1:10">
      <c r="A32" s="22"/>
      <c r="B32" s="23"/>
      <c r="C32" s="24"/>
      <c r="D32" s="24"/>
      <c r="E32" s="24"/>
      <c r="F32" s="24"/>
      <c r="G32" s="24"/>
      <c r="H32" s="24"/>
      <c r="I32" s="24"/>
      <c r="J32" s="53"/>
    </row>
    <row r="33" ht="15.75" customHeight="1" spans="1:10">
      <c r="A33" s="18"/>
      <c r="J33" s="22"/>
    </row>
    <row r="34" ht="15.75" customHeight="1" spans="1:10">
      <c r="A34" s="25"/>
      <c r="B34" s="26">
        <v>1257</v>
      </c>
      <c r="C34" s="26">
        <f>$G$79*(D34^$G$80)*(B34^G81)</f>
        <v>13412327.6155072</v>
      </c>
      <c r="D34" s="26">
        <v>60000</v>
      </c>
      <c r="G34" s="26">
        <f>AVERAGE(B34:B36)</f>
        <v>1258</v>
      </c>
      <c r="H34" s="26">
        <f>AVERAGE(C34:C36)</f>
        <v>890813569191.078</v>
      </c>
      <c r="I34" s="26">
        <f>AVERAGE(D34:D36)</f>
        <v>60000</v>
      </c>
      <c r="J34" s="18"/>
    </row>
    <row r="35" ht="15.75" customHeight="1" spans="1:4">
      <c r="A35" s="22"/>
      <c r="B35" s="26">
        <v>1258</v>
      </c>
      <c r="C35" s="26">
        <f>$G$79*(D35^$G$80)*(B35^G88)</f>
        <v>1336213647622.81</v>
      </c>
      <c r="D35" s="26">
        <v>60000</v>
      </c>
    </row>
    <row r="36" ht="15.75" customHeight="1" spans="1:4">
      <c r="A36" s="18"/>
      <c r="B36" s="27">
        <v>1259</v>
      </c>
      <c r="C36" s="27">
        <f>$G$79*(D36^$G$80)*(B36^G89)</f>
        <v>1336213647622.81</v>
      </c>
      <c r="D36" s="27">
        <v>60000</v>
      </c>
    </row>
    <row r="37" ht="15.75" customHeight="1" spans="2:12">
      <c r="B37" s="28"/>
      <c r="C37" s="29"/>
      <c r="D37" s="29"/>
      <c r="E37" s="29"/>
      <c r="F37" s="29"/>
      <c r="G37" s="29"/>
      <c r="H37" s="29"/>
      <c r="I37" s="29"/>
      <c r="J37" s="29"/>
      <c r="K37" s="54"/>
      <c r="L37" s="5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 spans="1:8">
      <c r="A59" s="30"/>
      <c r="B59" s="31" t="s">
        <v>51</v>
      </c>
      <c r="C59" s="32"/>
      <c r="D59" s="33"/>
      <c r="E59" s="34"/>
      <c r="F59" s="35"/>
      <c r="G59" s="18"/>
      <c r="H59" s="30"/>
    </row>
    <row r="60" ht="15.75" customHeight="1" spans="1:8">
      <c r="A60" s="30"/>
      <c r="B60" s="36" t="s">
        <v>52</v>
      </c>
      <c r="C60" s="37" t="s">
        <v>53</v>
      </c>
      <c r="E60" s="38"/>
      <c r="F60" s="38"/>
      <c r="H60" s="30"/>
    </row>
    <row r="61" ht="15.75" customHeight="1" spans="1:8">
      <c r="A61" s="30"/>
      <c r="B61" s="36" t="s">
        <v>54</v>
      </c>
      <c r="C61" s="37" t="s">
        <v>55</v>
      </c>
      <c r="H61" s="30"/>
    </row>
    <row r="62" ht="15.75" customHeight="1" spans="1:8">
      <c r="A62" s="30"/>
      <c r="B62" s="36" t="s">
        <v>56</v>
      </c>
      <c r="C62" s="37" t="s">
        <v>57</v>
      </c>
      <c r="H62" s="30"/>
    </row>
    <row r="63" ht="15.75" customHeight="1" spans="1:8">
      <c r="A63" s="30"/>
      <c r="H63" s="30"/>
    </row>
    <row r="64" ht="15.75" customHeight="1" spans="1:8">
      <c r="A64" s="30"/>
      <c r="B64" s="39" t="s">
        <v>58</v>
      </c>
      <c r="C64" s="39" t="s">
        <v>59</v>
      </c>
      <c r="D64" s="39" t="s">
        <v>60</v>
      </c>
      <c r="G64" s="39" t="s">
        <v>61</v>
      </c>
      <c r="H64" s="30"/>
    </row>
    <row r="65" ht="15.75" customHeight="1" spans="1:8">
      <c r="A65" s="30"/>
      <c r="B65" s="58">
        <v>22</v>
      </c>
      <c r="C65" s="59">
        <f>D31</f>
        <v>225.176615941253</v>
      </c>
      <c r="D65" s="60">
        <f>B31</f>
        <v>124.202577529679</v>
      </c>
      <c r="E65" s="61"/>
      <c r="F65" s="62" t="s">
        <v>62</v>
      </c>
      <c r="G65" s="60">
        <f>C31</f>
        <v>272.053632670122</v>
      </c>
      <c r="H65" s="30"/>
    </row>
    <row r="66" ht="15.75" customHeight="1" spans="1:20">
      <c r="A66" s="22"/>
      <c r="B66" s="63"/>
      <c r="C66" s="63"/>
      <c r="D66" s="63"/>
      <c r="E66" s="64"/>
      <c r="F66" s="64"/>
      <c r="G66" s="63"/>
      <c r="H66" s="30"/>
      <c r="I66" s="97"/>
      <c r="J66" s="97"/>
      <c r="K66" s="97"/>
      <c r="L66" s="97"/>
      <c r="M66" s="30"/>
      <c r="N66" s="97"/>
      <c r="O66" s="97"/>
      <c r="P66" s="97"/>
      <c r="Q66" s="107"/>
      <c r="R66" s="108"/>
      <c r="S66" s="109"/>
      <c r="T66" s="107"/>
    </row>
    <row r="67" ht="15.75" customHeight="1" spans="1:8">
      <c r="A67" s="18"/>
      <c r="B67" s="65" t="s">
        <v>59</v>
      </c>
      <c r="C67" s="65" t="s">
        <v>63</v>
      </c>
      <c r="D67" s="65" t="s">
        <v>64</v>
      </c>
      <c r="E67" s="66"/>
      <c r="F67" s="66"/>
      <c r="G67" s="65" t="s">
        <v>65</v>
      </c>
      <c r="H67" s="67"/>
    </row>
    <row r="68" ht="15.75" customHeight="1" spans="2:8">
      <c r="B68" s="68">
        <f>D31</f>
        <v>225.176615941253</v>
      </c>
      <c r="C68" s="59">
        <f>F31</f>
        <v>2304.80945190475</v>
      </c>
      <c r="D68" s="60">
        <f>H31</f>
        <v>1271.39903775968</v>
      </c>
      <c r="E68" s="61"/>
      <c r="F68" s="62" t="s">
        <v>62</v>
      </c>
      <c r="G68" s="60">
        <f>I31</f>
        <v>2784.80845611459</v>
      </c>
      <c r="H68" s="67"/>
    </row>
    <row r="69" ht="15.75" customHeight="1" spans="2:8">
      <c r="B69" s="66"/>
      <c r="C69" s="66"/>
      <c r="D69" s="66"/>
      <c r="E69" s="66"/>
      <c r="F69" s="66"/>
      <c r="G69" s="66"/>
      <c r="H69" s="67"/>
    </row>
    <row r="70" ht="15.75" customHeight="1" spans="2:8">
      <c r="B70" s="65" t="s">
        <v>60</v>
      </c>
      <c r="C70" s="65" t="s">
        <v>64</v>
      </c>
      <c r="D70" s="65" t="s">
        <v>66</v>
      </c>
      <c r="E70" s="66"/>
      <c r="F70" s="66"/>
      <c r="G70" s="65" t="s">
        <v>67</v>
      </c>
      <c r="H70" s="67"/>
    </row>
    <row r="71" ht="15.75" customHeight="1" spans="2:8">
      <c r="B71" s="68">
        <f>B31</f>
        <v>124.202577529679</v>
      </c>
      <c r="C71" s="59">
        <f>H31</f>
        <v>1271.39903775968</v>
      </c>
      <c r="D71" s="60">
        <f>G31</f>
        <v>701.700436535257</v>
      </c>
      <c r="E71" s="61"/>
      <c r="F71" s="62" t="s">
        <v>62</v>
      </c>
      <c r="G71" s="60">
        <f>J31</f>
        <v>1536.32994456507</v>
      </c>
      <c r="H71" s="67"/>
    </row>
    <row r="72" ht="15.75" customHeight="1" spans="8:8">
      <c r="H72" s="67"/>
    </row>
    <row r="73" ht="15.75" customHeight="1" spans="8:8">
      <c r="H73" s="67"/>
    </row>
    <row r="74" ht="15.75" customHeight="1" spans="8:8">
      <c r="H74" s="67"/>
    </row>
    <row r="75" ht="15.75" customHeight="1" spans="2:8">
      <c r="B75" s="65">
        <f>B65</f>
        <v>22</v>
      </c>
      <c r="C75" s="60">
        <f>D31</f>
        <v>225.176615941253</v>
      </c>
      <c r="D75" s="60">
        <f>B31</f>
        <v>124.202577529679</v>
      </c>
      <c r="E75" s="61"/>
      <c r="F75" s="62" t="s">
        <v>68</v>
      </c>
      <c r="G75" s="60">
        <f>C31</f>
        <v>272.053632670122</v>
      </c>
      <c r="H75" s="67"/>
    </row>
    <row r="76" ht="15.75" customHeight="1" spans="2:8">
      <c r="B76" s="65">
        <f>D31</f>
        <v>225.176615941253</v>
      </c>
      <c r="C76" s="60">
        <f>F31</f>
        <v>2304.80945190475</v>
      </c>
      <c r="D76" s="60">
        <f>H31</f>
        <v>1271.39903775968</v>
      </c>
      <c r="E76" s="61"/>
      <c r="F76" s="62" t="s">
        <v>68</v>
      </c>
      <c r="G76" s="60">
        <f>I31</f>
        <v>2784.80845611459</v>
      </c>
      <c r="H76" s="67"/>
    </row>
    <row r="77" ht="15.75" customHeight="1" spans="2:8">
      <c r="B77" s="65">
        <f>B31</f>
        <v>124.202577529679</v>
      </c>
      <c r="C77" s="60">
        <f>H31</f>
        <v>1271.39903775968</v>
      </c>
      <c r="D77" s="60">
        <f>G31</f>
        <v>701.700436535257</v>
      </c>
      <c r="E77" s="61"/>
      <c r="F77" s="62" t="s">
        <v>68</v>
      </c>
      <c r="G77" s="60">
        <f>J31</f>
        <v>1536.32994456507</v>
      </c>
      <c r="H77" s="67"/>
    </row>
    <row r="78" ht="15.75" customHeight="1" spans="8:8">
      <c r="H78" s="67"/>
    </row>
    <row r="79" ht="15.75" customHeight="1" spans="2:8">
      <c r="B79" s="69" t="s">
        <v>52</v>
      </c>
      <c r="C79" s="70">
        <f t="array" ref="C79:C81">MMULT(MINVERSE(B75:D77),G75:G77)</f>
        <v>-64.6248554449121</v>
      </c>
      <c r="D79" s="71" t="s">
        <v>69</v>
      </c>
      <c r="E79" s="72"/>
      <c r="F79" s="73" t="s">
        <v>70</v>
      </c>
      <c r="G79" s="70">
        <f>EXP(C79)</f>
        <v>8.58582211806365e-29</v>
      </c>
      <c r="H79" s="67"/>
    </row>
    <row r="80" ht="15.75" customHeight="1" spans="2:8">
      <c r="B80" s="69" t="s">
        <v>54</v>
      </c>
      <c r="C80" s="70">
        <v>8.4116412207477</v>
      </c>
      <c r="D80" s="71" t="s">
        <v>69</v>
      </c>
      <c r="E80" s="72"/>
      <c r="F80" s="73" t="s">
        <v>71</v>
      </c>
      <c r="G80" s="70">
        <f t="shared" ref="G80:G81" si="30">C80</f>
        <v>8.4116412207477</v>
      </c>
      <c r="H80" s="67"/>
    </row>
    <row r="81" ht="15.75" customHeight="1" spans="2:8">
      <c r="B81" s="69" t="s">
        <v>56</v>
      </c>
      <c r="C81" s="70">
        <v>-1.61272379468028</v>
      </c>
      <c r="D81" s="71" t="s">
        <v>69</v>
      </c>
      <c r="E81" s="72"/>
      <c r="F81" s="73" t="s">
        <v>72</v>
      </c>
      <c r="G81" s="70">
        <f t="shared" si="30"/>
        <v>-1.61272379468028</v>
      </c>
      <c r="H81" s="67"/>
    </row>
    <row r="82" ht="15.75" customHeight="1" spans="8:8">
      <c r="H82" s="67"/>
    </row>
    <row r="83" ht="15.75" customHeight="1" spans="2:8">
      <c r="B83" s="74"/>
      <c r="C83" s="71"/>
      <c r="D83" s="74"/>
      <c r="H83" s="67"/>
    </row>
    <row r="84" ht="15.75" customHeight="1" spans="2:8">
      <c r="B84" s="75" t="s">
        <v>73</v>
      </c>
      <c r="C84" s="76" t="s">
        <v>74</v>
      </c>
      <c r="D84" s="76" t="s">
        <v>75</v>
      </c>
      <c r="E84" s="76"/>
      <c r="F84" s="76" t="s">
        <v>76</v>
      </c>
      <c r="H84" s="67"/>
    </row>
    <row r="85" ht="15.75" customHeight="1" spans="2:8">
      <c r="B85" s="65">
        <f>I6</f>
        <v>104200</v>
      </c>
      <c r="C85" s="77">
        <f t="shared" ref="C85:C103" si="31">$G$79*(J6^$G$80)*(H6^$G$81)</f>
        <v>144882.367822529</v>
      </c>
      <c r="D85" s="77">
        <f t="shared" ref="D85:D103" si="32">(B85-C85)^2</f>
        <v>1655055051.64752</v>
      </c>
      <c r="E85" s="77"/>
      <c r="F85" s="77">
        <f t="shared" ref="F85:F103" si="33">(B85-$B$109)^2</f>
        <v>16979918821.1757</v>
      </c>
      <c r="H85" s="67"/>
    </row>
    <row r="86" ht="15.75" customHeight="1" spans="2:8">
      <c r="B86" s="65">
        <f t="shared" ref="B85:B103" si="34">I7</f>
        <v>110323.333333333</v>
      </c>
      <c r="C86" s="77">
        <f t="shared" si="31"/>
        <v>157717.436144641</v>
      </c>
      <c r="D86" s="77">
        <f t="shared" si="32"/>
        <v>2246200981.28883</v>
      </c>
      <c r="E86" s="78"/>
      <c r="F86" s="78">
        <f t="shared" si="33"/>
        <v>15421587424.0997</v>
      </c>
      <c r="H86" s="67"/>
    </row>
    <row r="87" ht="15.75" customHeight="1" spans="2:8">
      <c r="B87" s="65">
        <f t="shared" si="34"/>
        <v>138140</v>
      </c>
      <c r="C87" s="77">
        <f t="shared" si="31"/>
        <v>157308.803449653</v>
      </c>
      <c r="D87" s="77">
        <f t="shared" si="32"/>
        <v>367443025.69142</v>
      </c>
      <c r="E87" s="77"/>
      <c r="F87" s="77">
        <f t="shared" si="33"/>
        <v>9286602070.29855</v>
      </c>
      <c r="H87" s="67"/>
    </row>
    <row r="88" ht="15.75" customHeight="1" spans="2:8">
      <c r="B88" s="65">
        <f t="shared" si="34"/>
        <v>173040</v>
      </c>
      <c r="C88" s="77">
        <f t="shared" si="31"/>
        <v>171580.187543167</v>
      </c>
      <c r="D88" s="77">
        <f t="shared" si="32"/>
        <v>2131052.40912563</v>
      </c>
      <c r="E88" s="77"/>
      <c r="F88" s="77">
        <f t="shared" si="33"/>
        <v>3778194245.73715</v>
      </c>
      <c r="H88" s="67"/>
    </row>
    <row r="89" ht="15.75" customHeight="1" spans="2:8">
      <c r="B89" s="65">
        <f t="shared" si="34"/>
        <v>226283.333333333</v>
      </c>
      <c r="C89" s="77">
        <f t="shared" si="31"/>
        <v>187953.710035047</v>
      </c>
      <c r="D89" s="77">
        <f t="shared" si="32"/>
        <v>1469160022.18851</v>
      </c>
      <c r="E89" s="77"/>
      <c r="F89" s="77">
        <f t="shared" si="33"/>
        <v>67628981.9944594</v>
      </c>
      <c r="G89" s="79"/>
      <c r="H89" s="67"/>
    </row>
    <row r="90" ht="15.75" customHeight="1" spans="2:8">
      <c r="B90" s="65">
        <f t="shared" si="34"/>
        <v>262560</v>
      </c>
      <c r="C90" s="77">
        <f t="shared" si="31"/>
        <v>222173.013144553</v>
      </c>
      <c r="D90" s="77">
        <f t="shared" si="32"/>
        <v>1631108707.26208</v>
      </c>
      <c r="E90" s="77"/>
      <c r="F90" s="77">
        <f t="shared" si="33"/>
        <v>786969824.684519</v>
      </c>
      <c r="G90" s="79"/>
      <c r="H90" s="67"/>
    </row>
    <row r="91" ht="15.75" customHeight="1" spans="2:7">
      <c r="B91" s="65">
        <f t="shared" si="34"/>
        <v>266640</v>
      </c>
      <c r="C91" s="77">
        <f t="shared" si="31"/>
        <v>215489.484056091</v>
      </c>
      <c r="D91" s="77">
        <f t="shared" si="32"/>
        <v>2616375281.32811</v>
      </c>
      <c r="E91" s="77"/>
      <c r="F91" s="77">
        <f t="shared" si="33"/>
        <v>1032528561.52662</v>
      </c>
      <c r="G91" s="79"/>
    </row>
    <row r="92" ht="15.75" customHeight="1" spans="1:7">
      <c r="A92" s="80"/>
      <c r="B92" s="65">
        <f t="shared" si="34"/>
        <v>253270</v>
      </c>
      <c r="C92" s="77">
        <f t="shared" si="31"/>
        <v>204114.230247794</v>
      </c>
      <c r="D92" s="77">
        <f t="shared" si="32"/>
        <v>2416289699.93192</v>
      </c>
      <c r="E92" s="77"/>
      <c r="F92" s="77">
        <f t="shared" si="33"/>
        <v>352049510.649431</v>
      </c>
      <c r="G92" s="79"/>
    </row>
    <row r="93" ht="15.75" customHeight="1" spans="1:20">
      <c r="A93" s="81"/>
      <c r="B93" s="65">
        <f t="shared" si="34"/>
        <v>237566.666666667</v>
      </c>
      <c r="C93" s="77">
        <f t="shared" si="31"/>
        <v>195243.932965479</v>
      </c>
      <c r="D93" s="77">
        <f t="shared" si="32"/>
        <v>1791213787.94165</v>
      </c>
      <c r="E93" s="77"/>
      <c r="F93" s="77">
        <f t="shared" si="33"/>
        <v>9361452.75469378</v>
      </c>
      <c r="G93" s="79"/>
      <c r="P93" s="98"/>
      <c r="Q93" s="109"/>
      <c r="R93" s="109"/>
      <c r="S93" s="109"/>
      <c r="T93" s="107"/>
    </row>
    <row r="94" ht="15.75" customHeight="1" spans="2:7">
      <c r="B94" s="65">
        <f t="shared" si="34"/>
        <v>245483.333333333</v>
      </c>
      <c r="C94" s="77">
        <f t="shared" si="31"/>
        <v>195604.84371406</v>
      </c>
      <c r="D94" s="77">
        <f t="shared" si="32"/>
        <v>2487863726.69995</v>
      </c>
      <c r="E94" s="77"/>
      <c r="F94" s="77">
        <f t="shared" si="33"/>
        <v>120479508.31025</v>
      </c>
      <c r="G94" s="79"/>
    </row>
    <row r="95" ht="15.75" customHeight="1" spans="2:7">
      <c r="B95" s="65">
        <f t="shared" si="34"/>
        <v>251530</v>
      </c>
      <c r="C95" s="77">
        <f t="shared" si="31"/>
        <v>215388.815248438</v>
      </c>
      <c r="D95" s="77">
        <f t="shared" si="32"/>
        <v>1306185235.24653</v>
      </c>
      <c r="E95" s="77"/>
      <c r="F95" s="77">
        <f t="shared" si="33"/>
        <v>289781931.702063</v>
      </c>
      <c r="G95" s="79"/>
    </row>
    <row r="96" ht="15.75" customHeight="1" spans="1:16">
      <c r="A96" s="80"/>
      <c r="B96" s="65">
        <f t="shared" si="34"/>
        <v>257510</v>
      </c>
      <c r="C96" s="77">
        <f t="shared" si="31"/>
        <v>247925.823870938</v>
      </c>
      <c r="D96" s="77">
        <f t="shared" si="32"/>
        <v>91856432.0728861</v>
      </c>
      <c r="E96" s="77"/>
      <c r="F96" s="77">
        <f t="shared" si="33"/>
        <v>529137201.877501</v>
      </c>
      <c r="G96" s="79"/>
      <c r="P96" s="99"/>
    </row>
    <row r="97" ht="15.75" customHeight="1" spans="1:16">
      <c r="A97" s="81"/>
      <c r="B97" s="65">
        <f t="shared" si="34"/>
        <v>259583.333333333</v>
      </c>
      <c r="C97" s="77">
        <f t="shared" si="31"/>
        <v>283566.547487802</v>
      </c>
      <c r="D97" s="77">
        <f t="shared" si="32"/>
        <v>575194561.179128</v>
      </c>
      <c r="E97" s="77"/>
      <c r="F97" s="77">
        <f t="shared" si="33"/>
        <v>628821613.573408</v>
      </c>
      <c r="G97" s="79"/>
      <c r="P97" s="100"/>
    </row>
    <row r="98" ht="15.75" customHeight="1" spans="2:16">
      <c r="B98" s="65">
        <f t="shared" si="34"/>
        <v>264456.666666667</v>
      </c>
      <c r="C98" s="77">
        <f t="shared" si="31"/>
        <v>298170.578479842</v>
      </c>
      <c r="D98" s="77">
        <f t="shared" si="32"/>
        <v>1136627849.74654</v>
      </c>
      <c r="E98" s="77"/>
      <c r="F98" s="77">
        <f t="shared" si="33"/>
        <v>896981482.579257</v>
      </c>
      <c r="G98" s="79"/>
      <c r="P98" s="101"/>
    </row>
    <row r="99" ht="15.75" customHeight="1" spans="2:16">
      <c r="B99" s="65">
        <f t="shared" si="34"/>
        <v>270176.666666667</v>
      </c>
      <c r="C99" s="77">
        <f t="shared" si="31"/>
        <v>298170.578479842</v>
      </c>
      <c r="D99" s="77">
        <f t="shared" si="32"/>
        <v>783659098.603816</v>
      </c>
      <c r="E99" s="77"/>
      <c r="F99" s="77">
        <f t="shared" si="33"/>
        <v>1272323868.54417</v>
      </c>
      <c r="G99" s="79"/>
      <c r="P99" s="101"/>
    </row>
    <row r="100" ht="15.75" customHeight="1" spans="2:16">
      <c r="B100" s="65">
        <f t="shared" si="34"/>
        <v>276430</v>
      </c>
      <c r="C100" s="77">
        <f t="shared" si="31"/>
        <v>286981.434910395</v>
      </c>
      <c r="D100" s="77">
        <f t="shared" si="32"/>
        <v>111332778.668296</v>
      </c>
      <c r="E100" s="77"/>
      <c r="F100" s="77">
        <f t="shared" si="33"/>
        <v>1757536458.01785</v>
      </c>
      <c r="G100" s="79"/>
      <c r="P100" s="101"/>
    </row>
    <row r="101" ht="15.75" customHeight="1" spans="2:16">
      <c r="B101" s="65">
        <f t="shared" si="34"/>
        <v>282813.333333333</v>
      </c>
      <c r="C101" s="77">
        <f t="shared" si="31"/>
        <v>286358.937549181</v>
      </c>
      <c r="D101" s="77">
        <f t="shared" si="32"/>
        <v>12571309.2554356</v>
      </c>
      <c r="E101" s="77"/>
      <c r="F101" s="77">
        <f t="shared" si="33"/>
        <v>2333500145.15235</v>
      </c>
      <c r="G101" s="79"/>
      <c r="P101" s="101"/>
    </row>
    <row r="102" ht="15.75" customHeight="1" spans="2:16">
      <c r="B102" s="82">
        <f t="shared" si="34"/>
        <v>285890</v>
      </c>
      <c r="C102" s="83">
        <f t="shared" si="31"/>
        <v>287133.435797127</v>
      </c>
      <c r="D102" s="83">
        <f t="shared" si="32"/>
        <v>1546132.58157778</v>
      </c>
      <c r="E102" s="83"/>
      <c r="F102" s="83">
        <f t="shared" si="33"/>
        <v>2640210886.08803</v>
      </c>
      <c r="G102" s="79"/>
      <c r="P102" s="101"/>
    </row>
    <row r="103" ht="15.75" customHeight="1" spans="2:16">
      <c r="B103" s="84">
        <f t="shared" si="34"/>
        <v>289736.666666667</v>
      </c>
      <c r="C103" s="85">
        <f t="shared" si="31"/>
        <v>293238.619703872</v>
      </c>
      <c r="D103" s="85">
        <f t="shared" si="32"/>
        <v>12263675.0747937</v>
      </c>
      <c r="E103" s="85"/>
      <c r="F103" s="85">
        <f t="shared" si="33"/>
        <v>3050314142.22838</v>
      </c>
      <c r="G103" s="79"/>
      <c r="P103" s="101"/>
    </row>
    <row r="104" ht="15.75" customHeight="1" spans="7:16">
      <c r="G104" s="79"/>
      <c r="P104" s="101"/>
    </row>
    <row r="105" ht="15.75" customHeight="1" spans="7:16">
      <c r="G105" s="79"/>
      <c r="P105" s="101"/>
    </row>
    <row r="106" ht="15.75" customHeight="1" spans="7:16">
      <c r="G106" s="79"/>
      <c r="P106" s="101"/>
    </row>
    <row r="107" ht="15.75" customHeight="1" spans="7:16">
      <c r="G107" s="79"/>
      <c r="P107" s="101"/>
    </row>
    <row r="108" ht="15.75" customHeight="1" spans="2:16">
      <c r="B108" s="86" t="s">
        <v>77</v>
      </c>
      <c r="G108" s="79"/>
      <c r="P108" s="101"/>
    </row>
    <row r="109" ht="15.75" customHeight="1" spans="2:16">
      <c r="B109" s="84">
        <f>AVERAGE(B85:B103)</f>
        <v>234507.01754386</v>
      </c>
      <c r="C109" s="25"/>
      <c r="G109" s="79"/>
      <c r="P109" s="101"/>
    </row>
    <row r="110" ht="15.75" customHeight="1" spans="2:6">
      <c r="B110" s="86" t="s">
        <v>78</v>
      </c>
      <c r="C110" s="87"/>
      <c r="D110" s="87"/>
      <c r="E110" s="87"/>
      <c r="F110" s="87"/>
    </row>
    <row r="111" ht="15.75" customHeight="1" spans="2:6">
      <c r="B111" s="84">
        <f>SQRT(1-(SUM(D85:D103)/SUM(F85:F103)))</f>
        <v>0.813463091592422</v>
      </c>
      <c r="C111" s="87"/>
      <c r="D111" s="87"/>
      <c r="E111" s="87"/>
      <c r="F111" s="87"/>
    </row>
    <row r="112" ht="15.75" customHeight="1" spans="2:6">
      <c r="B112" s="88"/>
      <c r="C112" s="87"/>
      <c r="D112" s="87"/>
      <c r="E112" s="87"/>
      <c r="F112" s="87"/>
    </row>
    <row r="113" ht="15.75" customHeight="1"/>
    <row r="114" ht="15.75" customHeight="1"/>
    <row r="115" ht="15.75" customHeight="1"/>
    <row r="116" ht="15.75" customHeight="1" spans="2:4">
      <c r="B116" s="89" t="s">
        <v>79</v>
      </c>
      <c r="C116" s="24"/>
      <c r="D116" s="90"/>
    </row>
    <row r="117" ht="15.75" customHeight="1"/>
    <row r="118" ht="15.75" customHeight="1" spans="2:16">
      <c r="B118" s="79"/>
      <c r="C118" s="79"/>
      <c r="D118" s="79"/>
      <c r="E118" s="79"/>
      <c r="F118" s="79"/>
      <c r="G118" s="79"/>
      <c r="H118" s="67"/>
      <c r="P118" s="101"/>
    </row>
    <row r="119" ht="15.75" customHeight="1" spans="2:16">
      <c r="B119" s="91"/>
      <c r="C119" s="91"/>
      <c r="D119" s="91"/>
      <c r="E119" s="91"/>
      <c r="F119" s="91"/>
      <c r="G119" s="91"/>
      <c r="H119" s="92"/>
      <c r="I119" s="25"/>
      <c r="J119" s="25"/>
      <c r="K119" s="25"/>
      <c r="L119" s="25"/>
      <c r="M119" s="102"/>
      <c r="N119" s="102"/>
      <c r="O119" s="103"/>
      <c r="P119" s="104"/>
    </row>
    <row r="120" ht="15.75" customHeight="1" spans="2:16">
      <c r="B120" s="91"/>
      <c r="C120" s="91"/>
      <c r="D120" s="91"/>
      <c r="E120" s="91"/>
      <c r="F120" s="91"/>
      <c r="G120" s="91"/>
      <c r="H120" s="92"/>
      <c r="I120" s="25"/>
      <c r="J120" s="25"/>
      <c r="K120" s="25"/>
      <c r="L120" s="25"/>
      <c r="M120" s="102"/>
      <c r="N120" s="102"/>
      <c r="O120" s="103"/>
      <c r="P120" s="104"/>
    </row>
    <row r="121" ht="15.75" customHeight="1" spans="2:16">
      <c r="B121" s="93" t="s">
        <v>80</v>
      </c>
      <c r="C121" s="93" t="s">
        <v>81</v>
      </c>
      <c r="D121" s="93" t="s">
        <v>82</v>
      </c>
      <c r="E121" s="79"/>
      <c r="F121" s="79" t="s">
        <v>83</v>
      </c>
      <c r="I121" s="25"/>
      <c r="J121" s="25"/>
      <c r="K121" s="25"/>
      <c r="L121" s="25"/>
      <c r="M121" s="102"/>
      <c r="N121" s="102"/>
      <c r="O121" s="103"/>
      <c r="P121" s="104"/>
    </row>
    <row r="122" ht="15.75" customHeight="1" spans="2:16">
      <c r="B122" s="65">
        <f>B109</f>
        <v>234507.01754386</v>
      </c>
      <c r="C122" s="65">
        <f>AVERAGE(J6:J30)</f>
        <v>27907.9545454545</v>
      </c>
      <c r="D122" s="65">
        <f>AVERAGE(H6:H30)</f>
        <v>286.636363636364</v>
      </c>
      <c r="E122" s="79"/>
      <c r="F122" s="79" t="s">
        <v>84</v>
      </c>
      <c r="P122" s="101"/>
    </row>
    <row r="123" ht="15.75" customHeight="1" spans="1:16">
      <c r="A123" s="22"/>
      <c r="B123" s="91"/>
      <c r="C123" s="91"/>
      <c r="D123" s="91"/>
      <c r="E123" s="91"/>
      <c r="F123" s="91"/>
      <c r="G123" s="91"/>
      <c r="H123" s="91"/>
      <c r="I123" s="91"/>
      <c r="J123" s="91"/>
      <c r="K123" s="97"/>
      <c r="L123" s="97"/>
      <c r="M123" s="97"/>
      <c r="N123" s="97"/>
      <c r="O123" s="105"/>
      <c r="P123" s="104"/>
    </row>
    <row r="124" ht="15.75" customHeight="1" spans="1:16">
      <c r="A124" s="18"/>
      <c r="B124" s="91"/>
      <c r="C124" s="91"/>
      <c r="D124" s="91"/>
      <c r="E124" s="91"/>
      <c r="F124" s="91"/>
      <c r="G124" s="91"/>
      <c r="H124" s="91"/>
      <c r="I124" s="91"/>
      <c r="J124" s="91"/>
      <c r="K124" s="97"/>
      <c r="L124" s="97"/>
      <c r="M124" s="97"/>
      <c r="N124" s="97"/>
      <c r="O124" s="106"/>
      <c r="P124" s="100"/>
    </row>
    <row r="125" ht="15.75" customHeight="1" spans="1:7">
      <c r="A125" s="1" t="s">
        <v>85</v>
      </c>
      <c r="B125" s="94">
        <f>G81*(B122/D122)</f>
        <v>-1319.42452246666</v>
      </c>
      <c r="C125" s="95" t="s">
        <v>86</v>
      </c>
      <c r="D125" s="96" t="s">
        <v>87</v>
      </c>
      <c r="E125" s="96"/>
      <c r="F125" s="96"/>
      <c r="G125" s="96"/>
    </row>
    <row r="126" ht="15.75" customHeight="1" spans="1:7">
      <c r="A126" s="1" t="s">
        <v>88</v>
      </c>
      <c r="B126" s="94">
        <f>G80*(B122/C122)</f>
        <v>70.6819588699601</v>
      </c>
      <c r="C126" s="95" t="s">
        <v>89</v>
      </c>
      <c r="D126" s="96" t="s">
        <v>90</v>
      </c>
      <c r="E126" s="96"/>
      <c r="F126" s="96"/>
      <c r="G126" s="96"/>
    </row>
    <row r="127" ht="15.75" customHeight="1" spans="4:4">
      <c r="D127" s="86"/>
    </row>
    <row r="128" ht="15.75" customHeight="1" spans="1:1">
      <c r="A128" s="22"/>
    </row>
    <row r="129" ht="15.75" customHeight="1" spans="1:1">
      <c r="A129" s="18"/>
    </row>
    <row r="130" ht="15.75" customHeight="1"/>
    <row r="131" ht="15.75" customHeight="1" spans="2:3">
      <c r="B131" s="86"/>
      <c r="C131" s="94"/>
    </row>
    <row r="132" ht="15.75" customHeight="1" spans="2:4">
      <c r="B132" s="110" t="s">
        <v>91</v>
      </c>
      <c r="D132" s="111">
        <f>G81</f>
        <v>-1.61272379468028</v>
      </c>
    </row>
    <row r="133" ht="15.75" customHeight="1"/>
    <row r="134" ht="15.75" customHeight="1" spans="2:6">
      <c r="B134" s="25" t="s">
        <v>92</v>
      </c>
      <c r="C134" s="97"/>
      <c r="D134" s="97"/>
      <c r="E134" s="97"/>
      <c r="F134" s="97"/>
    </row>
    <row r="135" ht="15.75" customHeight="1" spans="2:6">
      <c r="B135" s="25" t="s">
        <v>93</v>
      </c>
      <c r="C135" s="25"/>
      <c r="D135" s="25"/>
      <c r="E135" s="25"/>
      <c r="F135" s="25"/>
    </row>
    <row r="136" ht="15.75" customHeight="1" spans="2:6">
      <c r="B136" s="25"/>
      <c r="C136" s="97"/>
      <c r="D136" s="97"/>
      <c r="E136" s="97"/>
      <c r="F136" s="97"/>
    </row>
    <row r="137" ht="15.75" customHeight="1" spans="2:4">
      <c r="B137" s="112"/>
      <c r="C137" s="113"/>
      <c r="D137" s="113"/>
    </row>
    <row r="138" ht="15.75" customHeight="1" spans="2:2">
      <c r="B138" s="114" t="s">
        <v>94</v>
      </c>
    </row>
    <row r="139" ht="15.75" customHeight="1"/>
    <row r="140" ht="15.75" customHeight="1" spans="2:7">
      <c r="B140" s="110" t="s">
        <v>95</v>
      </c>
      <c r="D140" s="111">
        <f>G80</f>
        <v>8.4116412207477</v>
      </c>
      <c r="G140" s="97"/>
    </row>
    <row r="141" ht="15.75" customHeight="1" spans="7:7">
      <c r="G141" s="25"/>
    </row>
    <row r="142" ht="15.75" customHeight="1" spans="2:7">
      <c r="B142" s="25" t="s">
        <v>96</v>
      </c>
      <c r="C142" s="97"/>
      <c r="D142" s="97"/>
      <c r="E142" s="97"/>
      <c r="F142" s="97"/>
      <c r="G142" s="97"/>
    </row>
    <row r="143" ht="15.75" customHeight="1" spans="2:15">
      <c r="B143" s="25" t="s">
        <v>97</v>
      </c>
      <c r="C143" s="25"/>
      <c r="D143" s="25"/>
      <c r="E143" s="25"/>
      <c r="F143" s="25"/>
      <c r="G143" s="25"/>
      <c r="H143" s="25"/>
      <c r="I143" s="25"/>
      <c r="J143" s="97"/>
      <c r="K143" s="97"/>
      <c r="L143" s="97"/>
      <c r="M143" s="97"/>
      <c r="N143" s="97"/>
      <c r="O143" s="117"/>
    </row>
    <row r="144" ht="15.75" customHeight="1" spans="2:9">
      <c r="B144" s="25" t="s">
        <v>98</v>
      </c>
      <c r="C144" s="97"/>
      <c r="D144" s="97"/>
      <c r="E144" s="97"/>
      <c r="F144" s="97"/>
      <c r="G144" s="25"/>
      <c r="H144" s="25"/>
      <c r="I144" s="25"/>
    </row>
    <row r="145" ht="15.75" customHeight="1" spans="2:9">
      <c r="B145" s="25"/>
      <c r="C145" s="25"/>
      <c r="D145" s="25"/>
      <c r="E145" s="25"/>
      <c r="F145" s="25"/>
      <c r="G145" s="25"/>
      <c r="H145" s="25"/>
      <c r="I145" s="25"/>
    </row>
    <row r="146" ht="15.75" customHeight="1" spans="2:9">
      <c r="B146" s="115"/>
      <c r="F146" s="25"/>
      <c r="G146" s="25"/>
      <c r="H146" s="25"/>
      <c r="I146" s="25"/>
    </row>
    <row r="147" ht="15.75" customHeight="1" spans="2:9">
      <c r="B147" s="92"/>
      <c r="C147" s="25"/>
      <c r="D147" s="25"/>
      <c r="E147" s="25"/>
      <c r="F147" s="25"/>
      <c r="G147" s="25"/>
      <c r="H147" s="25"/>
      <c r="I147" s="25"/>
    </row>
    <row r="148" ht="15.75" customHeight="1" spans="7:9">
      <c r="G148" s="97"/>
      <c r="H148" s="91"/>
      <c r="I148" s="91"/>
    </row>
    <row r="149" ht="15.75" customHeight="1" spans="7:9">
      <c r="G149" s="25"/>
      <c r="H149" s="25"/>
      <c r="I149" s="102"/>
    </row>
    <row r="150" ht="15.75" customHeight="1" spans="7:9">
      <c r="G150" s="97"/>
      <c r="H150" s="25"/>
      <c r="I150" s="25"/>
    </row>
    <row r="151" ht="15.75" customHeight="1" spans="2:9">
      <c r="B151" s="25"/>
      <c r="C151" s="25"/>
      <c r="D151" s="25"/>
      <c r="E151" s="25"/>
      <c r="F151" s="25"/>
      <c r="G151" s="25"/>
      <c r="H151" s="25"/>
      <c r="I151" s="97"/>
    </row>
    <row r="152" ht="15.75" customHeight="1" spans="3:9">
      <c r="C152" s="25"/>
      <c r="D152" s="25"/>
      <c r="E152" s="25"/>
      <c r="F152" s="25"/>
      <c r="G152" s="25"/>
      <c r="H152" s="25"/>
      <c r="I152" s="97"/>
    </row>
    <row r="153" ht="15.75" customHeight="1" spans="2:9">
      <c r="B153" s="116"/>
      <c r="C153" s="116"/>
      <c r="D153" s="116"/>
      <c r="E153" s="116"/>
      <c r="F153" s="116"/>
      <c r="G153" s="116"/>
      <c r="H153" s="25"/>
      <c r="I153" s="97"/>
    </row>
    <row r="154" ht="15.75" customHeight="1" spans="2:9">
      <c r="B154" s="116"/>
      <c r="C154" s="116"/>
      <c r="D154" s="116"/>
      <c r="E154" s="116"/>
      <c r="F154" s="116"/>
      <c r="G154" s="116"/>
      <c r="H154" s="25"/>
      <c r="I154" s="97"/>
    </row>
    <row r="155" ht="15.75" customHeight="1" spans="2:9">
      <c r="B155" s="116"/>
      <c r="C155" s="116"/>
      <c r="D155" s="116"/>
      <c r="E155" s="116"/>
      <c r="F155" s="116"/>
      <c r="G155" s="116"/>
      <c r="H155" s="25"/>
      <c r="I155" s="97"/>
    </row>
    <row r="156" ht="15.75" customHeight="1" spans="1:9">
      <c r="A156" s="22"/>
      <c r="B156" s="116"/>
      <c r="C156" s="116"/>
      <c r="D156" s="116"/>
      <c r="E156" s="116"/>
      <c r="F156" s="116"/>
      <c r="G156" s="116"/>
      <c r="H156" s="97"/>
      <c r="I156" s="97"/>
    </row>
    <row r="157" ht="15.75" customHeight="1" spans="1:9">
      <c r="A157" s="18"/>
      <c r="B157" s="116"/>
      <c r="C157" s="116"/>
      <c r="D157" s="116"/>
      <c r="E157" s="116"/>
      <c r="F157" s="116"/>
      <c r="G157" s="116"/>
      <c r="H157" s="97"/>
      <c r="I157" s="97"/>
    </row>
    <row r="158" ht="15.75" customHeight="1" spans="2:9">
      <c r="B158" s="116"/>
      <c r="C158" s="116"/>
      <c r="D158" s="116"/>
      <c r="E158" s="116"/>
      <c r="F158" s="116"/>
      <c r="G158" s="116"/>
      <c r="H158" s="97"/>
      <c r="I158" s="97"/>
    </row>
    <row r="159" ht="15.75" customHeight="1" spans="8:9">
      <c r="H159" s="25"/>
      <c r="I159" s="97"/>
    </row>
    <row r="160" ht="15.75" customHeight="1" spans="8:9">
      <c r="H160" s="25"/>
      <c r="I160" s="97"/>
    </row>
    <row r="161" ht="15.75" customHeight="1" spans="8:9">
      <c r="H161" s="25"/>
      <c r="I161" s="97"/>
    </row>
    <row r="162" ht="15.75" customHeight="1" spans="8:9">
      <c r="H162" s="25"/>
      <c r="I162" s="97"/>
    </row>
    <row r="163" ht="15.75" customHeight="1" spans="8:9">
      <c r="H163" s="25"/>
      <c r="I163" s="97"/>
    </row>
    <row r="164" ht="15.75" customHeight="1" spans="8:9">
      <c r="H164" s="97"/>
      <c r="I164" s="97"/>
    </row>
    <row r="165" ht="15.75" customHeight="1" spans="8:9">
      <c r="H165" s="97"/>
      <c r="I165" s="97"/>
    </row>
    <row r="166" ht="15.75" customHeight="1" spans="8:9">
      <c r="H166" s="97"/>
      <c r="I166" s="97"/>
    </row>
    <row r="167" ht="15.75" customHeight="1" spans="8:9">
      <c r="H167" s="25"/>
      <c r="I167" s="97"/>
    </row>
    <row r="168" ht="15.75" customHeight="1" spans="8:9">
      <c r="H168" s="25"/>
      <c r="I168" s="97"/>
    </row>
    <row r="169" ht="15.75" customHeight="1" spans="8:9">
      <c r="H169" s="25"/>
      <c r="I169" s="97"/>
    </row>
    <row r="170" ht="15.75" customHeight="1" spans="8:9">
      <c r="H170" s="25"/>
      <c r="I170" s="97"/>
    </row>
    <row r="171" ht="15.75" customHeight="1" spans="8:9">
      <c r="H171" s="25"/>
      <c r="I171" s="97"/>
    </row>
    <row r="172" ht="15.75" customHeight="1" spans="8:9">
      <c r="H172" s="25"/>
      <c r="I172" s="97"/>
    </row>
    <row r="173" ht="15.75" customHeight="1" spans="8:9">
      <c r="H173" s="25"/>
      <c r="I173" s="97"/>
    </row>
    <row r="174" ht="15.75" customHeight="1" spans="8:9">
      <c r="H174" s="25"/>
      <c r="I174" s="97"/>
    </row>
    <row r="175" ht="15.75" customHeight="1" spans="8:9">
      <c r="H175" s="25"/>
      <c r="I175" s="97"/>
    </row>
    <row r="176" ht="15.75" customHeight="1" spans="2:9">
      <c r="B176" s="30"/>
      <c r="C176" s="97"/>
      <c r="D176" s="97"/>
      <c r="E176" s="97"/>
      <c r="F176" s="97"/>
      <c r="G176" s="97"/>
      <c r="H176" s="97"/>
      <c r="I176" s="97"/>
    </row>
    <row r="177" ht="15.75" customHeight="1" spans="8:9">
      <c r="H177" s="25"/>
      <c r="I177" s="25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1">
    <mergeCell ref="B1:H1"/>
    <mergeCell ref="H3:K3"/>
    <mergeCell ref="B29:J29"/>
    <mergeCell ref="B32:J32"/>
    <mergeCell ref="B59:C59"/>
    <mergeCell ref="B116:D116"/>
    <mergeCell ref="F121:H121"/>
    <mergeCell ref="F122:H122"/>
    <mergeCell ref="D125:G125"/>
    <mergeCell ref="D126:G126"/>
    <mergeCell ref="A32:A33"/>
    <mergeCell ref="A35:A36"/>
    <mergeCell ref="A66:A67"/>
    <mergeCell ref="A92:A93"/>
    <mergeCell ref="A96:A97"/>
    <mergeCell ref="A123:A124"/>
    <mergeCell ref="A128:A129"/>
    <mergeCell ref="A156:A157"/>
    <mergeCell ref="J33:J34"/>
    <mergeCell ref="L2:L3"/>
    <mergeCell ref="U2:U3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Равновесные модели FC №1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fergus</cp:lastModifiedBy>
  <dcterms:created xsi:type="dcterms:W3CDTF">2006-09-16T00:00:00Z</dcterms:created>
  <dcterms:modified xsi:type="dcterms:W3CDTF">2026-03-23T11:40:58Z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B1CDA452D0944D4684AC4BA2EA1F2BE8_13</vt:lpwstr>
  </property>
  <property fmtid="{D5CDD505-2E9C-101B-9397-08002B2CF9AE}" pid="3" name="KSOProductBuildVer">
    <vt:lpwstr>1049-12.2.0.23197</vt:lpwstr>
  </property>
</Properties>
</file>