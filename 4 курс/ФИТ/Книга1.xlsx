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<sst xmlns="http://schemas.openxmlformats.org/spreadsheetml/2006/main" count="36" uniqueCount="35">
  <si>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Виды станков</t>
  </si>
  <si>
    <t xml:space="preserve">Затраты станочного времени на сборку
одного изделия, мин/шт.
</t>
  </si>
  <si>
    <t>Полезный
фонд
времени,
ч</t>
  </si>
  <si>
    <t>Изделие М</t>
  </si>
  <si>
    <t xml:space="preserve">Изделие Н </t>
  </si>
  <si>
    <t xml:space="preserve">Линия 1 </t>
  </si>
  <si>
    <t>Линия 2</t>
  </si>
  <si>
    <t>Линия 1</t>
  </si>
  <si>
    <t>A</t>
  </si>
  <si>
    <t>B</t>
  </si>
  <si>
    <t>C</t>
  </si>
  <si>
    <t>D</t>
  </si>
  <si>
    <t>Сменное задание, шт</t>
  </si>
  <si>
    <t>Цена, руб./шт.</t>
  </si>
  <si>
    <t>Цена, руб./шт.*(X11- Сменное задание)</t>
  </si>
  <si>
    <t>Целевая функция (выручка сверхплана):</t>
  </si>
  <si>
    <t>8,5+(x11-110) + 8,5+(x11-90) + 10+(x11-102) + 10+(x11-105)</t>
  </si>
  <si>
    <t>8,5(Xm1+Xm2)+10(Xh1+Xh2)</t>
  </si>
  <si>
    <t>X&gt;=0</t>
  </si>
  <si>
    <t>1.0X11​+ 1.1X12+ 1.2x21+ 1.1x22​≤ 6.8*60</t>
  </si>
  <si>
    <t>​6.8*60-1.0X11​+ 1.1X12+ 1.2x21+ 1.1x22&lt;=1.0X11​+ 1.1X12+ 1.2x21+ 1.1x22</t>
  </si>
  <si>
    <t>2.0X11​+1.8X12+2.1*x21+1.9x22​≤ 780</t>
  </si>
  <si>
    <t>13*60-2.0X11​+1.8X12+2.1*x21+1.9x22&lt;=2.0X11​+1.8X12+2.1*x21+1.9x22</t>
  </si>
  <si>
    <t>1.6X11​+1.6X12+1.7x21+1.6x22​≤ 660</t>
  </si>
  <si>
    <t>11*60- 1.6X11​+1.6X12+1.7x21+1.6x22&lt;=1.6X11​+1.6X12+1.7x21+1.6x22</t>
  </si>
  <si>
    <t>0.75X11​+0.8X12+0.9x21+0.88x22​≤ 390</t>
  </si>
  <si>
    <t>6.5*60- 0.75X11​+0.8X12+0.9x21+0.88x22&lt;​=0.75X11​+0.8X12+0.9x21+0.88x22</t>
  </si>
  <si>
    <t>x11​≤110</t>
  </si>
  <si>
    <t>x11&gt;=0</t>
  </si>
  <si>
    <t>x12​≤90</t>
  </si>
  <si>
    <t>x12&gt;=0</t>
  </si>
  <si>
    <t>x21​≤102</t>
  </si>
  <si>
    <t>X21&gt;=0</t>
  </si>
  <si>
    <t>x22​≤105</t>
  </si>
  <si>
    <t>X22&gt;=0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</si>
</sst>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zoomScale="175" zoomScaleNormal="175" topLeftCell="C6" workbookViewId="0">
      <selection activeCell="H25" sqref="H25"/>
    </sheetView>
  </sheetViews>
  <sheetFormatPr defaultColWidth="9.14285714285714" defaultRowHeight="15"/>
  <cols>
    <col min="2" max="2" width="20.8571428571429" customWidth="1"/>
    <col min="3" max="3" width="38.4285714285714" customWidth="1"/>
    <col min="4" max="4" width="12.8571428571429" customWidth="1"/>
    <col min="5" max="5" width="13.1428571428571" customWidth="1"/>
    <col min="6" max="6" width="14" customWidth="1"/>
    <col min="7" max="7" width="16.4285714285714" customWidth="1"/>
  </cols>
  <sheetData>
    <row r="3" spans="9:12">
      <c r="I3" s="6">
        <f>C12*(C7-C11)</f>
        <v>-926.5</v>
      </c>
      <c r="J3" s="6">
        <f>D12*(D7-D11)</f>
        <v>-755.65</v>
      </c>
      <c r="K3" s="6">
        <f>E12*(E7-E11)</f>
        <v>-1008</v>
      </c>
      <c r="L3" s="6">
        <f>F12*(F7-F11)</f>
        <v>-1039</v>
      </c>
    </row>
    <row r="4" ht="33" customHeight="1" spans="2:12">
      <c r="B4" s="1" t="s">
        <v>0</v>
      </c>
      <c r="C4" s="2" t="s">
        <v>1</v>
      </c>
      <c r="D4" s="1"/>
      <c r="E4" s="1"/>
      <c r="F4" s="1"/>
      <c r="G4" s="3" t="s">
        <v>2</v>
      </c>
      <c r="I4" s="6">
        <f>H7-(C7*C11+E7*E11)</f>
        <v>175.6</v>
      </c>
      <c r="J4" s="6">
        <f>H8-(C8*C11+E8*E11)</f>
        <v>345.8</v>
      </c>
      <c r="K4" s="6">
        <f>H9-(C9*C11+E9*E11)</f>
        <v>310.6</v>
      </c>
      <c r="L4" s="6">
        <f>H10-(C10*C11+E10*E11)</f>
        <v>215.7</v>
      </c>
    </row>
    <row r="5" ht="33" customHeight="1" spans="2:7">
      <c r="B5" s="1"/>
      <c r="C5" s="1" t="s">
        <v>3</v>
      </c>
      <c r="D5" s="1"/>
      <c r="E5" s="1" t="s">
        <v>4</v>
      </c>
      <c r="F5" s="1"/>
      <c r="G5" s="4"/>
    </row>
    <row r="6" spans="2:7">
      <c r="B6" s="1"/>
      <c r="C6" s="1" t="s">
        <v>5</v>
      </c>
      <c r="D6" s="1" t="s">
        <v>6</v>
      </c>
      <c r="E6" s="1" t="s">
        <v>7</v>
      </c>
      <c r="F6" s="1" t="s">
        <v>6</v>
      </c>
      <c r="G6" s="5"/>
    </row>
    <row r="7" spans="2:8">
      <c r="B7" s="1" t="s">
        <v>8</v>
      </c>
      <c r="C7" s="1">
        <v>1</v>
      </c>
      <c r="D7" s="1">
        <v>1.1</v>
      </c>
      <c r="E7" s="1">
        <v>1.2</v>
      </c>
      <c r="F7" s="1">
        <v>1.1</v>
      </c>
      <c r="G7" s="1">
        <v>6.8</v>
      </c>
      <c r="H7" s="6">
        <f>G7*60</f>
        <v>408</v>
      </c>
    </row>
    <row r="8" spans="2:8">
      <c r="B8" s="1" t="s">
        <v>9</v>
      </c>
      <c r="C8" s="1">
        <v>2</v>
      </c>
      <c r="D8" s="1">
        <v>1.8</v>
      </c>
      <c r="E8" s="1">
        <v>2.1</v>
      </c>
      <c r="F8" s="1">
        <v>1.9</v>
      </c>
      <c r="G8" s="1">
        <v>13</v>
      </c>
      <c r="H8" s="6">
        <f>G8*60</f>
        <v>780</v>
      </c>
    </row>
    <row r="9" spans="2:8">
      <c r="B9" s="1" t="s">
        <v>10</v>
      </c>
      <c r="C9" s="1">
        <v>1.6</v>
      </c>
      <c r="D9" s="1">
        <v>1.6</v>
      </c>
      <c r="E9" s="1">
        <v>1.7</v>
      </c>
      <c r="F9" s="1">
        <v>1.6</v>
      </c>
      <c r="G9" s="1">
        <v>11</v>
      </c>
      <c r="H9" s="6">
        <f>G9*60</f>
        <v>660</v>
      </c>
    </row>
    <row r="10" spans="2:8">
      <c r="B10" s="1" t="s">
        <v>11</v>
      </c>
      <c r="C10" s="1">
        <v>0.75</v>
      </c>
      <c r="D10" s="1">
        <v>0.8</v>
      </c>
      <c r="E10" s="1">
        <v>0.9</v>
      </c>
      <c r="F10" s="1">
        <v>0.88</v>
      </c>
      <c r="G10" s="1">
        <v>6.5</v>
      </c>
      <c r="H10" s="6">
        <f>G10*60</f>
        <v>390</v>
      </c>
    </row>
    <row r="11" spans="2:7">
      <c r="B11" s="1" t="s">
        <v>12</v>
      </c>
      <c r="C11" s="1">
        <v>110</v>
      </c>
      <c r="D11" s="1">
        <v>90</v>
      </c>
      <c r="E11" s="1">
        <v>102</v>
      </c>
      <c r="F11" s="1">
        <v>105</v>
      </c>
      <c r="G11" s="1"/>
    </row>
    <row r="12" spans="2:7">
      <c r="B12" s="1" t="s">
        <v>13</v>
      </c>
      <c r="C12" s="1">
        <v>8.5</v>
      </c>
      <c r="D12" s="1">
        <v>8.5</v>
      </c>
      <c r="E12" s="1">
        <v>10</v>
      </c>
      <c r="F12" s="1">
        <v>10</v>
      </c>
      <c r="G12" s="1"/>
    </row>
    <row r="14" spans="2:6">
      <c r="B14" t="s">
        <v>14</v>
      </c>
      <c r="F14" t="s">
        <v>15</v>
      </c>
    </row>
    <row r="15" spans="3:9">
      <c r="C15" s="1" t="s">
        <v>16</v>
      </c>
      <c r="D15" s="1"/>
      <c r="F15" s="1" t="s">
        <v>17</v>
      </c>
      <c r="G15" s="1"/>
      <c r="I15" s="6" t="s">
        <v>18</v>
      </c>
    </row>
    <row r="16" spans="3:3">
      <c r="C16" s="7"/>
    </row>
    <row r="17" ht="18.75" spans="2:12">
      <c r="B17" s="8"/>
      <c r="C17" s="6" t="s">
        <v>19</v>
      </c>
      <c r="F17" s="1" t="s">
        <v>20</v>
      </c>
      <c r="G17" s="1"/>
      <c r="H17" s="1"/>
      <c r="I17" s="1"/>
      <c r="J17" s="1"/>
      <c r="K17" s="1"/>
      <c r="L17" s="1"/>
    </row>
    <row r="18" spans="3:12">
      <c r="C18" s="6" t="s">
        <v>21</v>
      </c>
      <c r="F18" s="1" t="s">
        <v>22</v>
      </c>
      <c r="G18" s="1"/>
      <c r="H18" s="1"/>
      <c r="I18" s="1"/>
      <c r="J18" s="1"/>
      <c r="K18" s="1"/>
      <c r="L18" s="1"/>
    </row>
    <row r="19" spans="3:12">
      <c r="C19" s="6" t="s">
        <v>23</v>
      </c>
      <c r="F19" s="9" t="s">
        <v>24</v>
      </c>
      <c r="G19" s="9"/>
      <c r="H19" s="9"/>
      <c r="I19" s="9"/>
      <c r="J19" s="9"/>
      <c r="K19" s="9"/>
      <c r="L19" s="9"/>
    </row>
    <row r="20" spans="3:12">
      <c r="C20" s="6" t="s">
        <v>25</v>
      </c>
      <c r="F20" s="1" t="s">
        <v>26</v>
      </c>
      <c r="G20" s="1"/>
      <c r="H20" s="1"/>
      <c r="I20" s="1"/>
      <c r="J20" s="1"/>
      <c r="K20" s="1"/>
      <c r="L20" s="1"/>
    </row>
    <row r="22" spans="3:6">
      <c r="C22" s="6" t="s">
        <v>27</v>
      </c>
      <c r="F22" s="6" t="s">
        <v>28</v>
      </c>
    </row>
    <row r="23" spans="3:6">
      <c r="C23" s="6" t="s">
        <v>29</v>
      </c>
      <c r="F23" s="6" t="s">
        <v>30</v>
      </c>
    </row>
    <row r="24" spans="3:6">
      <c r="C24" s="6" t="s">
        <v>31</v>
      </c>
      <c r="F24" s="6" t="s">
        <v>32</v>
      </c>
    </row>
    <row r="25" spans="3:6">
      <c r="C25" s="6" t="s">
        <v>33</v>
      </c>
      <c r="F25" s="6" t="s">
        <v>34</v>
      </c>
    </row>
  </sheetData>
  <mergeCells count="11">
    <mergeCell ref="C4:F4"/>
    <mergeCell ref="C5:D5"/>
    <mergeCell ref="E5:F5"/>
    <mergeCell ref="C15:D15"/>
    <mergeCell ref="F15:G15"/>
    <mergeCell ref="F17:L17"/>
    <mergeCell ref="F18:L18"/>
    <mergeCell ref="F19:L19"/>
    <mergeCell ref="F20:L20"/>
    <mergeCell ref="B4:B6"/>
    <mergeCell ref="G4:G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ВЫХУХОЛЬ</dc:creator>
  <cp:lastModifiedBy>ВЫХУХОЛЬ</cp:lastModifiedBy>
  <dcterms:created xsi:type="dcterms:W3CDTF">2026-02-16T05:32:02Z</dcterms:created>
  <dcterms:modified xsi:type="dcterms:W3CDTF">2026-02-16T06:42:23Z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F6D574B9A66A442B9C77CFEA74DD595D_11</vt:lpwstr>
  </property>
  <property fmtid="{D5CDD505-2E9C-101B-9397-08002B2CF9AE}" pid="3" name="KSOProductBuildVer">
    <vt:lpwstr>1049-12.2.0.23197</vt:lpwstr>
  </property>
</Properties>
</file>