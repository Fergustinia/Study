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<sst xmlns="http://schemas.openxmlformats.org/spreadsheetml/2006/main" count="71" uniqueCount="29">
  <si>
    <r>
      <t xml:space="preserve">Доход от реализации за месяц = </t>
    </r>
    <r>
      <rPr>
        <b/>
        <sz val="11"/>
        <color theme="1"/>
        <rFont val="Times New Roman"/>
        <charset val="134"/>
      </rPr>
      <t>2265,18</t>
    </r>
    <r>
      <rPr>
        <sz val="11"/>
        <color theme="1"/>
        <rFont val="Times New Roman"/>
        <charset val="134"/>
      </rPr>
      <t>.</t>
    </r>
    <r>
      <rPr>
        <b/>
        <sz val="11"/>
        <color theme="1"/>
        <rFont val="Times New Roman"/>
        <charset val="134"/>
      </rPr>
      <t xml:space="preserve"> </t>
    </r>
  </si>
  <si>
    <t>На начало</t>
  </si>
  <si>
    <t>На конец</t>
  </si>
  <si>
    <t>месяца</t>
  </si>
  <si>
    <t>Оборотные активы</t>
  </si>
  <si>
    <r>
      <t>1. </t>
    </r>
    <r>
      <rPr>
        <sz val="11"/>
        <color theme="1"/>
        <rFont val="Times New Roman"/>
        <charset val="134"/>
      </rPr>
      <t>Материал</t>
    </r>
  </si>
  <si>
    <r>
      <t>2. </t>
    </r>
    <r>
      <rPr>
        <sz val="11"/>
        <color theme="1"/>
        <rFont val="Times New Roman"/>
        <charset val="134"/>
      </rPr>
      <t>Готовая продукция на складе</t>
    </r>
  </si>
  <si>
    <r>
      <t>3. </t>
    </r>
    <r>
      <rPr>
        <sz val="11"/>
        <color theme="1"/>
        <rFont val="Times New Roman"/>
        <charset val="134"/>
      </rPr>
      <t>НДС</t>
    </r>
  </si>
  <si>
    <r>
      <t>4. </t>
    </r>
    <r>
      <rPr>
        <sz val="11"/>
        <color theme="1"/>
        <rFont val="Times New Roman"/>
        <charset val="134"/>
      </rPr>
      <t>Незавершённое производство</t>
    </r>
  </si>
  <si>
    <r>
      <t>5. </t>
    </r>
    <r>
      <rPr>
        <sz val="11"/>
        <color theme="1"/>
        <rFont val="Times New Roman"/>
        <charset val="134"/>
      </rPr>
      <t>Денежные средства</t>
    </r>
  </si>
  <si>
    <r>
      <t>6. </t>
    </r>
    <r>
      <rPr>
        <sz val="11"/>
        <color theme="1"/>
        <rFont val="Times New Roman"/>
        <charset val="134"/>
      </rPr>
      <t>Товары на складе</t>
    </r>
  </si>
  <si>
    <r>
      <t>7. </t>
    </r>
    <r>
      <rPr>
        <sz val="11"/>
        <color theme="1"/>
        <rFont val="Times New Roman"/>
        <charset val="134"/>
      </rPr>
      <t>Расходы будущих периодов</t>
    </r>
  </si>
  <si>
    <r>
      <t>Абсолютное отклонение</t>
    </r>
    <r>
      <rPr>
        <sz val="11"/>
        <color theme="1"/>
        <rFont val="Calibri"/>
        <charset val="134"/>
        <scheme val="minor"/>
      </rPr>
      <t xml:space="preserve"> показывает, на сколько единиц (в тыс. руб.) изменился каждый элемент оборотных активов за месяц.</t>
    </r>
  </si>
  <si>
    <t>Δ</t>
  </si>
  <si>
    <t xml:space="preserve"> Kiсохр в %</t>
  </si>
  <si>
    <t>Уд.вес  в %</t>
  </si>
  <si>
    <t>На начало месяца</t>
  </si>
  <si>
    <t>На конец месяца</t>
  </si>
  <si>
    <t>Абсолютное отклонение</t>
  </si>
  <si>
    <t>Относительное отклонение</t>
  </si>
  <si>
    <t>Средняя величина оборотных средв</t>
  </si>
  <si>
    <t>тыс.руб</t>
  </si>
  <si>
    <t>Коэффициент оборачиваемости (отдача оборотных средств)</t>
  </si>
  <si>
    <t>оборота за месяц</t>
  </si>
  <si>
    <t>Длительность одного оборота если 30 дней</t>
  </si>
  <si>
    <t>дня</t>
  </si>
  <si>
    <t>Длительность одного оборота если 31 день</t>
  </si>
  <si>
    <t>Коэффициент загрузки (закрепления) оборотных средств</t>
  </si>
  <si>
    <t>руб.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</si>
</sst>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219075</xdr:colOff>
      <xdr:row>0</xdr:row>
      <xdr:rowOff>635</xdr:rowOff>
    </xdr:from>
    <xdr:to>
      <xdr:col>18</xdr:col>
      <xdr:colOff>504825</xdr:colOff>
      <xdr:row>5</xdr:row>
      <xdr:rowOff>102235</xdr:rowOff>
    </xdr:to>
    <xdr:pic>
      <xdr:nvPicPr>
        <xdr:cNvPr id="2" name="Изображение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391650" y="635"/>
          <a:ext cx="8210550" cy="99060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0</xdr:col>
      <xdr:colOff>142875</xdr:colOff>
      <xdr:row>14</xdr:row>
      <xdr:rowOff>104775</xdr:rowOff>
    </xdr:from>
    <xdr:ext cx="3702050" cy="1004570"/>
    <xdr:sp>
      <xdr:nvSpPr>
        <xdr:cNvPr id="3" name="Текстовое поле 2"/>
        <xdr:cNvSpPr txBox="1"/>
      </xdr:nvSpPr>
      <xdr:spPr>
        <a:xfrm>
          <a:off x="142875" y="4143375"/>
          <a:ext cx="3702050" cy="100457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Формула для каждого элемента i : ΔXi​=Xi, конец​−Xi, начало​</a:t>
          </a:r>
          <a:endParaRPr lang="ru-RU" altLang="en-US" sz="1100"/>
        </a:p>
        <a:p>
          <a:pPr algn="l"/>
          <a:r>
            <a:rPr lang="ru-RU" altLang="en-US" sz="1100"/>
            <a:t>ΔXi&gt;0 — элемент вырос (увеличение)</a:t>
          </a:r>
          <a:endParaRPr lang="ru-RU" altLang="en-US" sz="1100"/>
        </a:p>
        <a:p>
          <a:pPr algn="l"/>
          <a:r>
            <a:rPr lang="ru-RU" altLang="en-US" sz="1100"/>
            <a:t>Δ</a:t>
          </a:r>
          <a:r>
            <a:rPr lang="en-US" altLang="ru-RU" sz="1100"/>
            <a:t>Xi</a:t>
          </a:r>
          <a:r>
            <a:rPr lang="ru-RU" altLang="en-US" sz="1100"/>
            <a:t>&lt;0ΔXi&lt;0 — элемент снизился (уменьшение)</a:t>
          </a:r>
          <a:endParaRPr lang="ru-RU" altLang="en-US" sz="1100"/>
        </a:p>
        <a:p>
          <a:pPr algn="l"/>
          <a:r>
            <a:rPr lang="ru-RU" altLang="en-US" sz="1100"/>
            <a:t>ΔXi=0 — без изменений.</a:t>
          </a:r>
          <a:endParaRPr lang="ru-RU" altLang="en-US" sz="1100"/>
        </a:p>
        <a:p>
          <a:pPr algn="l"/>
          <a:endParaRPr lang="ru-RU" altLang="en-US" sz="1100"/>
        </a:p>
      </xdr:txBody>
    </xdr:sp>
    <xdr:clientData/>
  </xdr:oneCellAnchor>
  <xdr:oneCellAnchor>
    <xdr:from>
      <xdr:col>2</xdr:col>
      <xdr:colOff>333375</xdr:colOff>
      <xdr:row>20</xdr:row>
      <xdr:rowOff>47625</xdr:rowOff>
    </xdr:from>
    <xdr:ext cx="4184015" cy="1187450"/>
    <xdr:sp>
      <xdr:nvSpPr>
        <xdr:cNvPr id="4" name="Текстовое поле 3"/>
        <xdr:cNvSpPr txBox="1"/>
      </xdr:nvSpPr>
      <xdr:spPr>
        <a:xfrm>
          <a:off x="4152900" y="5229225"/>
          <a:ext cx="4184015" cy="11874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ru-RU" altLang="en-US" sz="1100"/>
            <a:t>Рост в материалах (+62), готовой продукции (+5), НДС (+11) и РБП (+40) — больше запасов, появились отложенные расходы.</a:t>
          </a:r>
          <a:endParaRPr lang="ru-RU" altLang="en-US" sz="1100"/>
        </a:p>
        <a:p>
          <a:pPr algn="l"/>
          <a:r>
            <a:rPr lang="ru-RU" altLang="en-US" sz="1100"/>
            <a:t>Снижение в денежных средствах (−328), товарах (−41), НЗП (−36) — существенная просадка ликвидности и обнуление остатков товаров и НЗП.</a:t>
          </a:r>
          <a:endParaRPr lang="ru-RU" altLang="en-US" sz="1100"/>
        </a:p>
        <a:p>
          <a:pPr algn="l"/>
          <a:r>
            <a:rPr lang="ru-RU" altLang="en-US" sz="1100"/>
            <a:t>Общий объём оборотных активов сократился на 287 тыс. руб.</a:t>
          </a:r>
          <a:endParaRPr lang="ru-RU" altLang="en-US" sz="1100"/>
        </a:p>
      </xdr:txBody>
    </xdr:sp>
    <xdr:clientData/>
  </xdr:oneCellAnchor>
  <xdr:twoCellAnchor editAs="oneCell">
    <xdr:from>
      <xdr:col>2</xdr:col>
      <xdr:colOff>1524000</xdr:colOff>
      <xdr:row>33</xdr:row>
      <xdr:rowOff>9525</xdr:rowOff>
    </xdr:from>
    <xdr:to>
      <xdr:col>11</xdr:col>
      <xdr:colOff>190500</xdr:colOff>
      <xdr:row>40</xdr:row>
      <xdr:rowOff>123825</xdr:rowOff>
    </xdr:to>
    <xdr:pic>
      <xdr:nvPicPr>
        <xdr:cNvPr id="5" name="Изображение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343525" y="8239125"/>
          <a:ext cx="7677150" cy="144780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0</xdr:col>
      <xdr:colOff>457200</xdr:colOff>
      <xdr:row>34</xdr:row>
      <xdr:rowOff>76200</xdr:rowOff>
    </xdr:from>
    <xdr:ext cx="2686685" cy="273685"/>
    <xdr:sp>
      <xdr:nvSpPr>
        <xdr:cNvPr id="6" name="Текстовое поле 5"/>
        <xdr:cNvSpPr txBox="1"/>
      </xdr:nvSpPr>
      <xdr:spPr>
        <a:xfrm>
          <a:off x="457200" y="8496300"/>
          <a:ext cx="268668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Формула</a:t>
          </a:r>
          <a:r>
            <a:rPr lang="en-US" altLang="ru-RU" sz="1100"/>
            <a:t>: Ki</a:t>
          </a:r>
          <a:r>
            <a:rPr lang="ru-RU" altLang="en-US" sz="1100"/>
            <a:t>сохр=</a:t>
          </a:r>
          <a:r>
            <a:rPr lang="en-US" altLang="ru-RU" sz="1100"/>
            <a:t>Xi</a:t>
          </a:r>
          <a:r>
            <a:rPr lang="ru-RU" altLang="en-US" sz="1100"/>
            <a:t>конец/</a:t>
          </a:r>
          <a:r>
            <a:rPr lang="en-US" altLang="ru-RU" sz="1100"/>
            <a:t>Xi</a:t>
          </a:r>
          <a:r>
            <a:rPr lang="ru-RU" altLang="en-US" sz="1100"/>
            <a:t>начало </a:t>
          </a:r>
          <a:r>
            <a:rPr lang="en-US" altLang="ru-RU" sz="1100"/>
            <a:t>*100%</a:t>
          </a:r>
          <a:endParaRPr lang="en-US" altLang="ru-RU" sz="1100"/>
        </a:p>
      </xdr:txBody>
    </xdr:sp>
    <xdr:clientData/>
  </xdr:oneCellAnchor>
  <xdr:oneCellAnchor>
    <xdr:from>
      <xdr:col>0</xdr:col>
      <xdr:colOff>9525</xdr:colOff>
      <xdr:row>50</xdr:row>
      <xdr:rowOff>162560</xdr:rowOff>
    </xdr:from>
    <xdr:ext cx="3978910" cy="456565"/>
    <xdr:sp>
      <xdr:nvSpPr>
        <xdr:cNvPr id="7" name="Текстовое поле 6"/>
        <xdr:cNvSpPr txBox="1"/>
      </xdr:nvSpPr>
      <xdr:spPr>
        <a:xfrm>
          <a:off x="9525" y="12202160"/>
          <a:ext cx="3978910" cy="45656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Определяется доля каждого элемента в общей сумме активов. </a:t>
          </a:r>
          <a:endParaRPr lang="ru-RU" altLang="en-US" sz="1100"/>
        </a:p>
        <a:p>
          <a:pPr algn="l"/>
          <a:r>
            <a:rPr lang="ru-RU" altLang="en-US" sz="1100"/>
            <a:t>Формула: Уд.вес =</a:t>
          </a:r>
          <a:r>
            <a:rPr lang="en-US" altLang="ru-RU" sz="1100"/>
            <a:t>Xi/∑Xi​ *100%</a:t>
          </a:r>
          <a:endParaRPr lang="en-US" altLang="ru-RU" sz="1100"/>
        </a:p>
      </xdr:txBody>
    </xdr:sp>
    <xdr:clientData/>
  </xdr:oneCellAnchor>
  <xdr:oneCellAnchor>
    <xdr:from>
      <xdr:col>4</xdr:col>
      <xdr:colOff>561975</xdr:colOff>
      <xdr:row>59</xdr:row>
      <xdr:rowOff>95250</xdr:rowOff>
    </xdr:from>
    <xdr:ext cx="8891270" cy="822325"/>
    <xdr:sp>
      <xdr:nvSpPr>
        <xdr:cNvPr id="8" name="Текстовое поле 7"/>
        <xdr:cNvSpPr txBox="1"/>
      </xdr:nvSpPr>
      <xdr:spPr>
        <a:xfrm>
          <a:off x="8105775" y="13849350"/>
          <a:ext cx="8891270" cy="8223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Структура сместилась от денег к запасам: доля материалов резко выросла, деньги снизились.</a:t>
          </a:r>
          <a:endParaRPr lang="ru-RU" altLang="en-US" sz="1100"/>
        </a:p>
        <a:p>
          <a:pPr algn="l"/>
          <a:r>
            <a:rPr lang="ru-RU" altLang="en-US" sz="1100"/>
            <a:t>Появились значимые РБП; товары и НЗП на конец отсутствуют.</a:t>
          </a:r>
          <a:endParaRPr lang="ru-RU" altLang="en-US" sz="1100"/>
        </a:p>
        <a:p>
          <a:pPr algn="l"/>
          <a:r>
            <a:rPr lang="ru-RU" altLang="en-US" sz="1100"/>
            <a:t>Такой сдвиг уменьшает ликвидность, но может быть связан с подготовкой к будущему выпуску/продажам.</a:t>
          </a:r>
          <a:endParaRPr lang="ru-RU" altLang="en-US" sz="1100"/>
        </a:p>
        <a:p>
          <a:pPr algn="l"/>
          <a:r>
            <a:rPr lang="ru-RU" altLang="en-US" sz="1100"/>
            <a:t>В дальнейшей записке увяжите это с оборачиваемостью: при быстром обороте риски ниже, при замедлении — возможен дефицит ликвидности.</a:t>
          </a:r>
          <a:endParaRPr lang="ru-RU" altLang="en-US" sz="1100"/>
        </a:p>
      </xdr:txBody>
    </xdr:sp>
    <xdr:clientData/>
  </xdr:oneCellAnchor>
  <xdr:oneCellAnchor>
    <xdr:from>
      <xdr:col>5</xdr:col>
      <xdr:colOff>266700</xdr:colOff>
      <xdr:row>96</xdr:row>
      <xdr:rowOff>285750</xdr:rowOff>
    </xdr:from>
    <xdr:ext cx="6518910" cy="639445"/>
    <xdr:sp>
      <xdr:nvSpPr>
        <xdr:cNvPr id="9" name="Текстовое поле 8"/>
        <xdr:cNvSpPr txBox="1"/>
      </xdr:nvSpPr>
      <xdr:spPr>
        <a:xfrm>
          <a:off x="9439275" y="22536150"/>
          <a:ext cx="6518910" cy="63944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Оборот “короткий”: ~неделя на один цикл — это хорошо.</a:t>
          </a:r>
          <a:endParaRPr lang="ru-RU" altLang="en-US" sz="1100"/>
        </a:p>
        <a:p>
          <a:pPr algn="l"/>
          <a:r>
            <a:rPr lang="ru-RU" altLang="en-US" sz="1100"/>
            <a:t>Отдача ОА 4,15: каждый рубль, вложенный в оборот, приносит ~4,15 руб. выручки в месяц.</a:t>
          </a:r>
          <a:endParaRPr lang="ru-RU" altLang="en-US" sz="1100"/>
        </a:p>
        <a:p>
          <a:pPr algn="l"/>
          <a:r>
            <a:rPr lang="ru-RU" altLang="en-US" sz="1100"/>
            <a:t>Загрузка 0,241: для рубля выручки достаточно 24 коп. оборотных средств — эффективное использование.</a:t>
          </a:r>
          <a:endParaRPr lang="ru-RU" altLang="en-US" sz="1100"/>
        </a:p>
      </xdr:txBody>
    </xdr:sp>
    <xdr:clientData/>
  </xdr:oneCellAnchor>
  <xdr:oneCellAnchor>
    <xdr:from>
      <xdr:col>0</xdr:col>
      <xdr:colOff>208280</xdr:colOff>
      <xdr:row>104</xdr:row>
      <xdr:rowOff>107950</xdr:rowOff>
    </xdr:from>
    <xdr:ext cx="12358370" cy="6122035"/>
    <xdr:sp>
      <xdr:nvSpPr>
        <xdr:cNvPr id="10" name="Текстовое поле 9"/>
        <xdr:cNvSpPr txBox="1"/>
      </xdr:nvSpPr>
      <xdr:spPr>
        <a:xfrm>
          <a:off x="208280" y="24263350"/>
          <a:ext cx="12358370" cy="61220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1. Общие изменения (абсолютные отклонения)</a:t>
          </a:r>
          <a:endParaRPr lang="ru-RU" altLang="en-US" sz="1100"/>
        </a:p>
        <a:p>
          <a:pPr algn="l"/>
          <a:r>
            <a:rPr lang="ru-RU" altLang="en-US" sz="1100"/>
            <a:t>За отчётный месяц общая сумма оборотных активов предприятия сократилась с 690 тыс. руб. до 403 тыс. руб., то есть на 287 тыс. руб. (−41,6%).</a:t>
          </a:r>
          <a:endParaRPr lang="ru-RU" altLang="en-US" sz="1100"/>
        </a:p>
        <a:p>
          <a:pPr algn="l"/>
          <a:r>
            <a:rPr lang="ru-RU" altLang="en-US" sz="1100"/>
            <a:t>Наибольшее снижение произошло по статье «Денежные средства» (−328 тыс. руб.), что указывает на активное использование средств для закупок или расчётов с контрагентами.</a:t>
          </a:r>
          <a:endParaRPr lang="ru-RU" altLang="en-US" sz="1100"/>
        </a:p>
        <a:p>
          <a:pPr algn="l"/>
          <a:r>
            <a:rPr lang="ru-RU" altLang="en-US" sz="1100"/>
            <a:t>Полностью исчезли остатки товаров на складе (−41 тыс. руб.) и незавершённого производства (−36 тыс. руб.), что может свидетельствовать о завершении производственного цикла и реализации запасов.</a:t>
          </a:r>
          <a:endParaRPr lang="ru-RU" altLang="en-US" sz="1100"/>
        </a:p>
        <a:p>
          <a:pPr algn="l"/>
          <a:r>
            <a:rPr lang="ru-RU" altLang="en-US" sz="1100"/>
            <a:t>В то же время наблюдается рост по статьям:</a:t>
          </a:r>
          <a:endParaRPr lang="ru-RU" altLang="en-US" sz="1100"/>
        </a:p>
        <a:p>
          <a:pPr algn="l"/>
          <a:r>
            <a:rPr lang="ru-RU" altLang="en-US" sz="1100"/>
            <a:t>Материалы — +62 тыс. руб. (увеличение запасов сырья и комплектующих);</a:t>
          </a:r>
          <a:endParaRPr lang="ru-RU" altLang="en-US" sz="1100"/>
        </a:p>
        <a:p>
          <a:pPr algn="l"/>
          <a:r>
            <a:rPr lang="ru-RU" altLang="en-US" sz="1100"/>
            <a:t>НДС — +11 тыс. руб.;</a:t>
          </a:r>
          <a:endParaRPr lang="ru-RU" altLang="en-US" sz="1100"/>
        </a:p>
        <a:p>
          <a:pPr algn="l"/>
          <a:r>
            <a:rPr lang="ru-RU" altLang="en-US" sz="1100"/>
            <a:t>Расходы будущих периодов — +40 тыс. руб. (появились новые авансовые затраты);</a:t>
          </a:r>
          <a:endParaRPr lang="ru-RU" altLang="en-US" sz="1100"/>
        </a:p>
        <a:p>
          <a:pPr algn="l"/>
          <a:r>
            <a:rPr lang="ru-RU" altLang="en-US" sz="1100"/>
            <a:t>Готовая продукция на складе — +5 тыс. руб.</a:t>
          </a:r>
          <a:endParaRPr lang="ru-RU" altLang="en-US" sz="1100"/>
        </a:p>
        <a:p>
          <a:pPr algn="l"/>
          <a:r>
            <a:rPr lang="ru-RU" altLang="en-US" sz="1100"/>
            <a:t>Таким образом, предприятие перераспределило активы в сторону производственных запасов, сократив объём ликвидных средств.</a:t>
          </a:r>
          <a:endParaRPr lang="ru-RU" altLang="en-US" sz="1100"/>
        </a:p>
        <a:p>
          <a:pPr algn="l"/>
          <a:r>
            <a:rPr lang="ru-RU" altLang="en-US" sz="1100"/>
            <a:t>2. Изменение структуры оборотных активов</a:t>
          </a:r>
          <a:endParaRPr lang="ru-RU" altLang="en-US" sz="1100"/>
        </a:p>
        <a:p>
          <a:pPr algn="l"/>
          <a:r>
            <a:rPr lang="ru-RU" altLang="en-US" sz="1100"/>
            <a:t>Структура оборотных активов претерпела значительные изменения.</a:t>
          </a:r>
          <a:endParaRPr lang="ru-RU" altLang="en-US" sz="1100"/>
        </a:p>
        <a:p>
          <a:pPr algn="l"/>
          <a:r>
            <a:rPr lang="ru-RU" altLang="en-US" sz="1100"/>
            <a:t>Доля денежных средств уменьшилась с 71,16% до 40,45% (−30,71 п.п.), а доля материалов выросла с 12,75% до 37,22% (+24,47 п.п.).</a:t>
          </a:r>
          <a:endParaRPr lang="ru-RU" altLang="en-US" sz="1100"/>
        </a:p>
        <a:p>
          <a:pPr algn="l"/>
          <a:r>
            <a:rPr lang="ru-RU" altLang="en-US" sz="1100"/>
            <a:t>Также появились расходы будущих периодов (9,93%), тогда как товары и незавершённое производство полностью выбыли из структуры.</a:t>
          </a:r>
          <a:endParaRPr lang="ru-RU" altLang="en-US" sz="1100"/>
        </a:p>
        <a:p>
          <a:pPr algn="l"/>
          <a:r>
            <a:rPr lang="ru-RU" altLang="en-US" sz="1100"/>
            <a:t>Это свидетельствует о переходе средств из наиболее ликвидных форм (деньги) в менее ликвидные (запасы и авансы).</a:t>
          </a:r>
          <a:endParaRPr lang="ru-RU" altLang="en-US" sz="1100"/>
        </a:p>
        <a:p>
          <a:pPr algn="l"/>
          <a:r>
            <a:rPr lang="ru-RU" altLang="en-US" sz="1100"/>
            <a:t>Такая динамика может быть следствием подготовки к увеличению объёма производства или временного перераспределения средств.</a:t>
          </a:r>
          <a:endParaRPr lang="ru-RU" altLang="en-US" sz="1100"/>
        </a:p>
        <a:p>
          <a:pPr algn="l"/>
          <a:r>
            <a:rPr lang="ru-RU" altLang="en-US" sz="1100"/>
            <a:t>3. Эффективность использования оборотных активов</a:t>
          </a:r>
          <a:endParaRPr lang="ru-RU" altLang="en-US" sz="1100"/>
        </a:p>
        <a:p>
          <a:pPr algn="l"/>
          <a:r>
            <a:rPr lang="ru-RU" altLang="en-US" sz="1100"/>
            <a:t>Средняя величина оборотных активов составила 546,5 тыс. руб.</a:t>
          </a:r>
          <a:endParaRPr lang="ru-RU" altLang="en-US" sz="1100"/>
        </a:p>
        <a:p>
          <a:pPr algn="l"/>
          <a:r>
            <a:rPr lang="ru-RU" altLang="en-US" sz="1100"/>
            <a:t>Коэффициент оборачиваемости — 4,15 оборота за месяц,</a:t>
          </a:r>
          <a:endParaRPr lang="ru-RU" altLang="en-US" sz="1100"/>
        </a:p>
        <a:p>
          <a:pPr algn="l"/>
          <a:r>
            <a:rPr lang="ru-RU" altLang="en-US" sz="1100"/>
            <a:t>длительность одного оборота — 7,2 дня,</a:t>
          </a:r>
          <a:endParaRPr lang="ru-RU" altLang="en-US" sz="1100"/>
        </a:p>
        <a:p>
          <a:pPr algn="l"/>
          <a:r>
            <a:rPr lang="ru-RU" altLang="en-US" sz="1100"/>
            <a:t>коэффициент загрузки — 0,241.</a:t>
          </a:r>
          <a:endParaRPr lang="ru-RU" altLang="en-US" sz="1100"/>
        </a:p>
        <a:p>
          <a:pPr algn="l"/>
          <a:r>
            <a:rPr lang="ru-RU" altLang="en-US" sz="1100"/>
            <a:t>Это говорит о достаточно высокой эффективности:</a:t>
          </a:r>
          <a:endParaRPr lang="ru-RU" altLang="en-US" sz="1100"/>
        </a:p>
        <a:p>
          <a:pPr algn="l"/>
          <a:r>
            <a:rPr lang="ru-RU" altLang="en-US" sz="1100"/>
            <a:t>каждый рубль оборотных средств обеспечил 4,15 руб. выручки за месяц,</a:t>
          </a:r>
          <a:endParaRPr lang="ru-RU" altLang="en-US" sz="1100"/>
        </a:p>
        <a:p>
          <a:pPr algn="l"/>
          <a:r>
            <a:rPr lang="ru-RU" altLang="en-US" sz="1100"/>
            <a:t>а один цикл обращения длится всего около недели.</a:t>
          </a:r>
          <a:endParaRPr lang="ru-RU" altLang="en-US" sz="1100"/>
        </a:p>
        <a:p>
          <a:pPr algn="l"/>
          <a:r>
            <a:rPr lang="ru-RU" altLang="en-US" sz="1100"/>
            <a:t>Однако уменьшение ликвидных активов при сохранении высокой скорости оборота требует контроля за платежеспособностью и текущими расчётами.</a:t>
          </a:r>
          <a:endParaRPr lang="ru-RU" altLang="en-US" sz="1100"/>
        </a:p>
        <a:p>
          <a:pPr algn="l"/>
          <a:r>
            <a:rPr lang="ru-RU" altLang="en-US" sz="1100"/>
            <a:t>4. Выводы и рекомендации</a:t>
          </a:r>
          <a:endParaRPr lang="ru-RU" altLang="en-US" sz="1100"/>
        </a:p>
        <a:p>
          <a:pPr algn="l"/>
          <a:r>
            <a:rPr lang="ru-RU" altLang="en-US" sz="1100"/>
            <a:t>Общая тенденция: активы перераспределены из денежных средств в запасы.</a:t>
          </a:r>
          <a:endParaRPr lang="ru-RU" altLang="en-US" sz="1100"/>
        </a:p>
        <a:p>
          <a:pPr algn="l"/>
          <a:r>
            <a:rPr lang="ru-RU" altLang="en-US" sz="1100"/>
            <a:t>Положительные стороны: высокая оборачиваемость и эффективность использования активов.</a:t>
          </a:r>
          <a:endParaRPr lang="ru-RU" altLang="en-US" sz="1100"/>
        </a:p>
        <a:p>
          <a:pPr algn="l"/>
          <a:r>
            <a:rPr lang="ru-RU" altLang="en-US" sz="1100"/>
            <a:t>Риски: снижение ликвидности, возможные кассовые разрывы.</a:t>
          </a:r>
          <a:endParaRPr lang="ru-RU" altLang="en-US" sz="1100"/>
        </a:p>
        <a:p>
          <a:pPr algn="l"/>
          <a:r>
            <a:rPr lang="ru-RU" altLang="en-US" sz="1100"/>
            <a:t>Рекомендации:</a:t>
          </a:r>
          <a:endParaRPr lang="ru-RU" altLang="en-US" sz="1100"/>
        </a:p>
        <a:p>
          <a:pPr algn="l"/>
          <a:r>
            <a:rPr lang="ru-RU" altLang="en-US" sz="1100"/>
            <a:t>контролировать остаток денежных средств;</a:t>
          </a:r>
          <a:endParaRPr lang="ru-RU" altLang="en-US" sz="1100"/>
        </a:p>
        <a:p>
          <a:pPr algn="l"/>
          <a:r>
            <a:rPr lang="ru-RU" altLang="en-US" sz="1100"/>
            <a:t>планировать закупки и авансы с учётом сроков оборота;</a:t>
          </a:r>
          <a:endParaRPr lang="ru-RU" altLang="en-US" sz="1100"/>
        </a:p>
        <a:p>
          <a:pPr algn="l"/>
          <a:r>
            <a:rPr lang="ru-RU" altLang="en-US" sz="1100"/>
            <a:t>оптимизировать складские запасы для сохранения ликвидности.</a:t>
          </a:r>
          <a:endParaRPr lang="ru-RU" altLang="en-US" sz="1100"/>
        </a:p>
      </xdr:txBody>
    </xdr:sp>
    <xdr:clientData/>
  </xdr:oneCellAnchor>
  <xdr:twoCellAnchor editAs="oneCell">
    <xdr:from>
      <xdr:col>5</xdr:col>
      <xdr:colOff>142875</xdr:colOff>
      <xdr:row>64</xdr:row>
      <xdr:rowOff>19050</xdr:rowOff>
    </xdr:from>
    <xdr:to>
      <xdr:col>20</xdr:col>
      <xdr:colOff>28575</xdr:colOff>
      <xdr:row>80</xdr:row>
      <xdr:rowOff>95250</xdr:rowOff>
    </xdr:to>
    <xdr:pic>
      <xdr:nvPicPr>
        <xdr:cNvPr id="11" name="Изображение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315450" y="15106650"/>
          <a:ext cx="9029700" cy="3619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107" workbookViewId="0">
      <selection activeCell="D73" sqref="D73"/>
    </sheetView>
  </sheetViews>
  <sheetFormatPr defaultColWidth="9.14285714285714" defaultRowHeight="15" outlineLevelCol="4"/>
  <cols>
    <col min="1" max="1" width="27.1428571428571" style="1" customWidth="1"/>
    <col min="2" max="2" width="30.1428571428571" style="1" customWidth="1"/>
    <col min="3" max="3" width="34" style="1" customWidth="1"/>
    <col min="4" max="4" width="21.8571428571429" style="1" customWidth="1"/>
    <col min="5" max="5" width="24.4285714285714" style="1" customWidth="1"/>
    <col min="6" max="16384" width="9.14285714285714" style="1"/>
  </cols>
  <sheetData>
    <row r="1" ht="40" customHeight="1" spans="1:3">
      <c r="A1" s="2" t="s">
        <v>0</v>
      </c>
      <c r="B1" s="3" t="s">
        <v>1</v>
      </c>
      <c r="C1" s="3" t="s">
        <v>2</v>
      </c>
    </row>
    <row r="2" hidden="1" spans="1:3">
      <c r="A2" s="2"/>
      <c r="B2" s="4"/>
      <c r="C2" s="4"/>
    </row>
    <row r="3" hidden="1" spans="1:3">
      <c r="A3" s="2"/>
      <c r="B3" s="3" t="s">
        <v>3</v>
      </c>
      <c r="C3" s="3" t="s">
        <v>3</v>
      </c>
    </row>
    <row r="4" spans="1:3">
      <c r="A4" s="5" t="s">
        <v>4</v>
      </c>
      <c r="B4" s="3"/>
      <c r="C4" s="3"/>
    </row>
    <row r="5" customHeight="1" spans="1:3">
      <c r="A5" s="6" t="s">
        <v>5</v>
      </c>
      <c r="B5" s="7">
        <v>88</v>
      </c>
      <c r="C5" s="7">
        <v>150</v>
      </c>
    </row>
    <row r="6" ht="30" spans="1:3">
      <c r="A6" s="6" t="s">
        <v>6</v>
      </c>
      <c r="B6" s="7">
        <v>18</v>
      </c>
      <c r="C6" s="7">
        <v>23</v>
      </c>
    </row>
    <row r="7" spans="1:3">
      <c r="A7" s="6" t="s">
        <v>7</v>
      </c>
      <c r="B7" s="7">
        <v>16</v>
      </c>
      <c r="C7" s="7">
        <v>27</v>
      </c>
    </row>
    <row r="8" ht="17" customHeight="1" spans="1:3">
      <c r="A8" s="6" t="s">
        <v>8</v>
      </c>
      <c r="B8" s="7">
        <v>36</v>
      </c>
      <c r="C8" s="7">
        <v>0</v>
      </c>
    </row>
    <row r="9" spans="1:3">
      <c r="A9" s="6" t="s">
        <v>9</v>
      </c>
      <c r="B9" s="7">
        <v>491</v>
      </c>
      <c r="C9" s="7">
        <v>163</v>
      </c>
    </row>
    <row r="10" ht="21" customHeight="1" spans="1:3">
      <c r="A10" s="6" t="s">
        <v>10</v>
      </c>
      <c r="B10" s="7">
        <v>41</v>
      </c>
      <c r="C10" s="7">
        <v>0</v>
      </c>
    </row>
    <row r="11" ht="30" spans="1:3">
      <c r="A11" s="6" t="s">
        <v>11</v>
      </c>
      <c r="B11" s="7">
        <v>0</v>
      </c>
      <c r="C11" s="7">
        <v>40</v>
      </c>
    </row>
    <row r="12" spans="1:3">
      <c r="A12" s="1">
        <f>2265.18</f>
        <v>2265.18</v>
      </c>
      <c r="B12" s="4">
        <f>SUM(B5:B11)</f>
        <v>690</v>
      </c>
      <c r="C12" s="4">
        <f>SUM(C5:C11)</f>
        <v>403</v>
      </c>
    </row>
    <row r="14" ht="90" spans="1:1">
      <c r="A14" s="8" t="s">
        <v>12</v>
      </c>
    </row>
    <row r="21" spans="1:2">
      <c r="A21" s="9" t="s">
        <v>0</v>
      </c>
      <c r="B21" s="10" t="s">
        <v>13</v>
      </c>
    </row>
    <row r="22" spans="1:2">
      <c r="A22" s="9"/>
      <c r="B22" s="11"/>
    </row>
    <row r="23" spans="1:2">
      <c r="A23" s="9"/>
      <c r="B23" s="11"/>
    </row>
    <row r="24" spans="1:2">
      <c r="A24" s="12" t="s">
        <v>4</v>
      </c>
      <c r="B24" s="13"/>
    </row>
    <row r="25" spans="1:2">
      <c r="A25" s="14" t="s">
        <v>5</v>
      </c>
      <c r="B25" s="15">
        <f>C5-B5</f>
        <v>62</v>
      </c>
    </row>
    <row r="26" ht="30" spans="1:2">
      <c r="A26" s="14" t="s">
        <v>6</v>
      </c>
      <c r="B26" s="15">
        <f>C6-B6</f>
        <v>5</v>
      </c>
    </row>
    <row r="27" spans="1:2">
      <c r="A27" s="14" t="s">
        <v>7</v>
      </c>
      <c r="B27" s="15">
        <f t="shared" ref="B26:B31" si="0">C7-B7</f>
        <v>11</v>
      </c>
    </row>
    <row r="28" ht="30" spans="1:2">
      <c r="A28" s="14" t="s">
        <v>8</v>
      </c>
      <c r="B28" s="15">
        <f t="shared" si="0"/>
        <v>-36</v>
      </c>
    </row>
    <row r="29" spans="1:2">
      <c r="A29" s="14" t="s">
        <v>9</v>
      </c>
      <c r="B29" s="15">
        <f t="shared" si="0"/>
        <v>-328</v>
      </c>
    </row>
    <row r="30" spans="1:2">
      <c r="A30" s="14" t="s">
        <v>10</v>
      </c>
      <c r="B30" s="15">
        <f t="shared" si="0"/>
        <v>-41</v>
      </c>
    </row>
    <row r="31" ht="30" spans="1:2">
      <c r="A31" s="14" t="s">
        <v>11</v>
      </c>
      <c r="B31" s="15">
        <f t="shared" si="0"/>
        <v>40</v>
      </c>
    </row>
    <row r="32" spans="1:2">
      <c r="A32" s="4"/>
      <c r="B32" s="4">
        <f>SUM(B25:B31)</f>
        <v>-287</v>
      </c>
    </row>
    <row r="39" spans="1:2">
      <c r="A39" s="9" t="s">
        <v>0</v>
      </c>
      <c r="B39" s="10" t="s">
        <v>14</v>
      </c>
    </row>
    <row r="40" spans="1:2">
      <c r="A40" s="9"/>
      <c r="B40" s="11"/>
    </row>
    <row r="41" spans="1:2">
      <c r="A41" s="9"/>
      <c r="B41" s="11"/>
    </row>
    <row r="42" spans="1:2">
      <c r="A42" s="12" t="s">
        <v>4</v>
      </c>
      <c r="B42" s="13"/>
    </row>
    <row r="43" spans="1:2">
      <c r="A43" s="14" t="s">
        <v>5</v>
      </c>
      <c r="B43" s="15">
        <f>C5/B5*100</f>
        <v>170.454545454545</v>
      </c>
    </row>
    <row r="44" ht="30" spans="1:2">
      <c r="A44" s="14" t="s">
        <v>6</v>
      </c>
      <c r="B44" s="15">
        <f t="shared" ref="B44:B49" si="1">C6/B6*100</f>
        <v>127.777777777778</v>
      </c>
    </row>
    <row r="45" spans="1:2">
      <c r="A45" s="14" t="s">
        <v>7</v>
      </c>
      <c r="B45" s="15">
        <f t="shared" si="1"/>
        <v>168.75</v>
      </c>
    </row>
    <row r="46" ht="30" spans="1:2">
      <c r="A46" s="14" t="s">
        <v>8</v>
      </c>
      <c r="B46" s="15">
        <f t="shared" si="1"/>
        <v>0</v>
      </c>
    </row>
    <row r="47" spans="1:2">
      <c r="A47" s="14" t="s">
        <v>9</v>
      </c>
      <c r="B47" s="15">
        <f t="shared" si="1"/>
        <v>33.1975560081466</v>
      </c>
    </row>
    <row r="48" spans="1:2">
      <c r="A48" s="14" t="s">
        <v>10</v>
      </c>
      <c r="B48" s="15">
        <f t="shared" si="1"/>
        <v>0</v>
      </c>
    </row>
    <row r="49" ht="30" spans="1:2">
      <c r="A49" s="14" t="s">
        <v>11</v>
      </c>
      <c r="B49" s="15" t="e">
        <f>C11/B11*100</f>
        <v>#DIV/0!</v>
      </c>
    </row>
    <row r="56" spans="1:4">
      <c r="A56" s="2" t="s">
        <v>0</v>
      </c>
      <c r="B56" s="3" t="s">
        <v>1</v>
      </c>
      <c r="C56" s="3" t="s">
        <v>2</v>
      </c>
      <c r="D56" s="10" t="s">
        <v>15</v>
      </c>
    </row>
    <row r="57" spans="1:4">
      <c r="A57" s="2"/>
      <c r="B57" s="4"/>
      <c r="C57" s="4"/>
      <c r="D57" s="11"/>
    </row>
    <row r="58" spans="1:4">
      <c r="A58" s="2"/>
      <c r="B58" s="3" t="s">
        <v>3</v>
      </c>
      <c r="C58" s="3" t="s">
        <v>3</v>
      </c>
      <c r="D58" s="11"/>
    </row>
    <row r="59" spans="1:4">
      <c r="A59" s="5" t="s">
        <v>4</v>
      </c>
      <c r="B59" s="3"/>
      <c r="C59" s="3"/>
      <c r="D59" s="13"/>
    </row>
    <row r="60" spans="1:4">
      <c r="A60" s="6" t="s">
        <v>5</v>
      </c>
      <c r="B60" s="7">
        <f>B5/$B$12*100</f>
        <v>12.7536231884058</v>
      </c>
      <c r="C60" s="7">
        <f>C5/$C$12*100</f>
        <v>37.2208436724566</v>
      </c>
      <c r="D60" s="15">
        <f>C60-B60</f>
        <v>24.4672204840508</v>
      </c>
    </row>
    <row r="61" ht="30" spans="1:4">
      <c r="A61" s="6" t="s">
        <v>6</v>
      </c>
      <c r="B61" s="7">
        <f t="shared" ref="B61:B67" si="2">B6/$B$12*100</f>
        <v>2.60869565217391</v>
      </c>
      <c r="C61" s="7">
        <f t="shared" ref="C61:C67" si="3">C6/$C$12*100</f>
        <v>5.70719602977668</v>
      </c>
      <c r="D61" s="15">
        <f t="shared" ref="D61:D66" si="4">C61-B61</f>
        <v>3.09850037760276</v>
      </c>
    </row>
    <row r="62" spans="1:4">
      <c r="A62" s="6" t="s">
        <v>7</v>
      </c>
      <c r="B62" s="7">
        <f t="shared" si="2"/>
        <v>2.31884057971014</v>
      </c>
      <c r="C62" s="7">
        <f t="shared" si="3"/>
        <v>6.69975186104218</v>
      </c>
      <c r="D62" s="15">
        <f t="shared" si="4"/>
        <v>4.38091128133204</v>
      </c>
    </row>
    <row r="63" ht="30" spans="1:4">
      <c r="A63" s="6" t="s">
        <v>8</v>
      </c>
      <c r="B63" s="7">
        <f t="shared" si="2"/>
        <v>5.21739130434783</v>
      </c>
      <c r="C63" s="7">
        <f t="shared" si="3"/>
        <v>0</v>
      </c>
      <c r="D63" s="15">
        <f t="shared" si="4"/>
        <v>-5.21739130434783</v>
      </c>
    </row>
    <row r="64" spans="1:4">
      <c r="A64" s="6" t="s">
        <v>9</v>
      </c>
      <c r="B64" s="7">
        <f t="shared" si="2"/>
        <v>71.1594202898551</v>
      </c>
      <c r="C64" s="7">
        <f t="shared" si="3"/>
        <v>40.4466501240695</v>
      </c>
      <c r="D64" s="15">
        <f t="shared" si="4"/>
        <v>-30.7127701657856</v>
      </c>
    </row>
    <row r="65" spans="1:4">
      <c r="A65" s="6" t="s">
        <v>10</v>
      </c>
      <c r="B65" s="7">
        <f t="shared" si="2"/>
        <v>5.94202898550725</v>
      </c>
      <c r="C65" s="7">
        <f t="shared" si="3"/>
        <v>0</v>
      </c>
      <c r="D65" s="15">
        <f t="shared" si="4"/>
        <v>-5.94202898550725</v>
      </c>
    </row>
    <row r="66" ht="30" spans="1:4">
      <c r="A66" s="6" t="s">
        <v>11</v>
      </c>
      <c r="B66" s="7">
        <f t="shared" si="2"/>
        <v>0</v>
      </c>
      <c r="C66" s="7">
        <f t="shared" si="3"/>
        <v>9.92555831265509</v>
      </c>
      <c r="D66" s="15">
        <f t="shared" si="4"/>
        <v>9.92555831265509</v>
      </c>
    </row>
    <row r="67" spans="2:3">
      <c r="B67" s="7">
        <f t="shared" si="2"/>
        <v>100</v>
      </c>
      <c r="C67" s="7">
        <f t="shared" si="3"/>
        <v>100</v>
      </c>
    </row>
    <row r="73" ht="39" customHeight="1"/>
    <row r="83" spans="1:5">
      <c r="A83" s="2" t="s">
        <v>0</v>
      </c>
      <c r="B83" s="16" t="s">
        <v>16</v>
      </c>
      <c r="C83" s="16" t="s">
        <v>17</v>
      </c>
      <c r="D83" s="10" t="s">
        <v>18</v>
      </c>
      <c r="E83" s="10" t="s">
        <v>19</v>
      </c>
    </row>
    <row r="84" spans="1:5">
      <c r="A84" s="2"/>
      <c r="B84" s="17"/>
      <c r="C84" s="17"/>
      <c r="D84" s="11"/>
      <c r="E84" s="11"/>
    </row>
    <row r="85" spans="1:5">
      <c r="A85" s="2"/>
      <c r="B85" s="18"/>
      <c r="C85" s="18"/>
      <c r="D85" s="13"/>
      <c r="E85" s="13"/>
    </row>
    <row r="86" spans="1:5">
      <c r="A86" s="5" t="s">
        <v>4</v>
      </c>
      <c r="B86" s="3"/>
      <c r="C86" s="3"/>
      <c r="D86" s="4"/>
      <c r="E86" s="4"/>
    </row>
    <row r="87" spans="1:5">
      <c r="A87" s="6" t="s">
        <v>5</v>
      </c>
      <c r="B87" s="7">
        <v>88</v>
      </c>
      <c r="C87" s="7">
        <v>150</v>
      </c>
      <c r="D87" s="4">
        <f>C87-B87</f>
        <v>62</v>
      </c>
      <c r="E87" s="4">
        <f>D60</f>
        <v>24.4672204840508</v>
      </c>
    </row>
    <row r="88" ht="30" spans="1:5">
      <c r="A88" s="6" t="s">
        <v>6</v>
      </c>
      <c r="B88" s="7">
        <v>18</v>
      </c>
      <c r="C88" s="7">
        <v>23</v>
      </c>
      <c r="D88" s="4">
        <f t="shared" ref="D88:D94" si="5">C88-B88</f>
        <v>5</v>
      </c>
      <c r="E88" s="4">
        <f t="shared" ref="E88:E94" si="6">D61</f>
        <v>3.09850037760276</v>
      </c>
    </row>
    <row r="89" spans="1:5">
      <c r="A89" s="6" t="s">
        <v>7</v>
      </c>
      <c r="B89" s="7">
        <v>16</v>
      </c>
      <c r="C89" s="7">
        <v>27</v>
      </c>
      <c r="D89" s="4">
        <f t="shared" si="5"/>
        <v>11</v>
      </c>
      <c r="E89" s="4">
        <f t="shared" si="6"/>
        <v>4.38091128133204</v>
      </c>
    </row>
    <row r="90" ht="30" spans="1:5">
      <c r="A90" s="6" t="s">
        <v>8</v>
      </c>
      <c r="B90" s="7">
        <v>36</v>
      </c>
      <c r="C90" s="7">
        <v>0</v>
      </c>
      <c r="D90" s="4">
        <f t="shared" si="5"/>
        <v>-36</v>
      </c>
      <c r="E90" s="4">
        <f t="shared" si="6"/>
        <v>-5.21739130434783</v>
      </c>
    </row>
    <row r="91" spans="1:5">
      <c r="A91" s="6" t="s">
        <v>9</v>
      </c>
      <c r="B91" s="7">
        <v>491</v>
      </c>
      <c r="C91" s="7">
        <v>163</v>
      </c>
      <c r="D91" s="4">
        <f t="shared" si="5"/>
        <v>-328</v>
      </c>
      <c r="E91" s="4">
        <f t="shared" si="6"/>
        <v>-30.7127701657856</v>
      </c>
    </row>
    <row r="92" spans="1:5">
      <c r="A92" s="6" t="s">
        <v>10</v>
      </c>
      <c r="B92" s="7">
        <v>41</v>
      </c>
      <c r="C92" s="7">
        <v>0</v>
      </c>
      <c r="D92" s="4">
        <f t="shared" si="5"/>
        <v>-41</v>
      </c>
      <c r="E92" s="4">
        <f t="shared" si="6"/>
        <v>-5.94202898550725</v>
      </c>
    </row>
    <row r="93" ht="30" spans="1:5">
      <c r="A93" s="6" t="s">
        <v>11</v>
      </c>
      <c r="B93" s="7">
        <v>0</v>
      </c>
      <c r="C93" s="7">
        <v>40</v>
      </c>
      <c r="D93" s="4">
        <f t="shared" si="5"/>
        <v>40</v>
      </c>
      <c r="E93" s="4">
        <f t="shared" si="6"/>
        <v>9.92555831265509</v>
      </c>
    </row>
    <row r="94" spans="1:5">
      <c r="A94" s="4">
        <f>2265.18</f>
        <v>2265.18</v>
      </c>
      <c r="B94" s="4">
        <f>SUM(B87:B93)</f>
        <v>690</v>
      </c>
      <c r="C94" s="4">
        <f>SUM(C87:C93)</f>
        <v>403</v>
      </c>
      <c r="D94" s="4">
        <f t="shared" si="5"/>
        <v>-287</v>
      </c>
      <c r="E94" s="4">
        <f t="shared" si="6"/>
        <v>0</v>
      </c>
    </row>
    <row r="97" ht="30" spans="1:4">
      <c r="A97" s="1" t="s">
        <v>20</v>
      </c>
      <c r="C97" s="1">
        <f>(B12+C12)/2</f>
        <v>546.5</v>
      </c>
      <c r="D97" s="1" t="s">
        <v>21</v>
      </c>
    </row>
    <row r="98" spans="1:4">
      <c r="A98" s="19" t="s">
        <v>22</v>
      </c>
      <c r="C98" s="1">
        <f>A12/C97</f>
        <v>4.14488563586459</v>
      </c>
      <c r="D98" t="s">
        <v>23</v>
      </c>
    </row>
    <row r="99" spans="1:4">
      <c r="A99" t="s">
        <v>24</v>
      </c>
      <c r="C99" s="1">
        <f>30/C98</f>
        <v>7.23783540380897</v>
      </c>
      <c r="D99" t="s">
        <v>25</v>
      </c>
    </row>
    <row r="100" ht="30" spans="1:4">
      <c r="A100" s="1" t="s">
        <v>26</v>
      </c>
      <c r="C100" s="1">
        <f>31/C98</f>
        <v>7.47909658393594</v>
      </c>
      <c r="D100" t="s">
        <v>25</v>
      </c>
    </row>
    <row r="101" spans="1:4">
      <c r="A101" t="s">
        <v>27</v>
      </c>
      <c r="C101" s="1">
        <f>C97/A12</f>
        <v>0.241261180126966</v>
      </c>
      <c r="D101" t="s">
        <v>28</v>
      </c>
    </row>
  </sheetData>
  <mergeCells count="12">
    <mergeCell ref="A1:A3"/>
    <mergeCell ref="A21:A23"/>
    <mergeCell ref="A39:A41"/>
    <mergeCell ref="A56:A58"/>
    <mergeCell ref="A83:A85"/>
    <mergeCell ref="B21:B24"/>
    <mergeCell ref="B39:B42"/>
    <mergeCell ref="B83:B85"/>
    <mergeCell ref="C83:C85"/>
    <mergeCell ref="D56:D59"/>
    <mergeCell ref="D83:D85"/>
    <mergeCell ref="E83:E8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ВЫХУХОЛЬ</dc:creator>
  <cp:lastModifiedBy>ВЫХУХОЛЬ</cp:lastModifiedBy>
  <dcterms:created xsi:type="dcterms:W3CDTF">2025-11-04T12:34:18Z</dcterms:created>
  <dcterms:modified xsi:type="dcterms:W3CDTF">2025-11-04T17:38:46Z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02BC5FBD0DD54E34BB938B801730D04C_11</vt:lpwstr>
  </property>
  <property fmtid="{D5CDD505-2E9C-101B-9397-08002B2CF9AE}" pid="3" name="KSOProductBuildVer">
    <vt:lpwstr>1049-12.2.0.23149</vt:lpwstr>
  </property>
</Properties>
</file>