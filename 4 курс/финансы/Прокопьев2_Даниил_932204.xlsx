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<sst xmlns="http://schemas.openxmlformats.org/spreadsheetml/2006/main" count="84" uniqueCount="76">
  <si>
    <t>Календарная дата</t>
  </si>
  <si>
    <t>Явочное число списочного состава, человеко-дней</t>
  </si>
  <si>
    <t>Явочное число списочного состава, человеко-час; 1/2ст</t>
  </si>
  <si>
    <t>и день недели</t>
  </si>
  <si>
    <t>01.01 -суббота</t>
  </si>
  <si>
    <t>4+1АУП</t>
  </si>
  <si>
    <t>02.01- воскресенье</t>
  </si>
  <si>
    <t>5+1АУП</t>
  </si>
  <si>
    <t>03.01 -понедельник</t>
  </si>
  <si>
    <t>04.01 - вторник</t>
  </si>
  <si>
    <t>05.01 - среда</t>
  </si>
  <si>
    <t>06.01 -четверг</t>
  </si>
  <si>
    <r>
      <t>07.01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Times New Roman"/>
        <charset val="134"/>
      </rPr>
      <t>- пятница</t>
    </r>
  </si>
  <si>
    <t>08.01 - суббота</t>
  </si>
  <si>
    <t>09.01- воскресенье</t>
  </si>
  <si>
    <t>10.01- понедельник</t>
  </si>
  <si>
    <t>11.01- вторник</t>
  </si>
  <si>
    <t>12.01-среда</t>
  </si>
  <si>
    <t>13.01- четверг</t>
  </si>
  <si>
    <t>14.01-пятница</t>
  </si>
  <si>
    <t>15.01-суббота</t>
  </si>
  <si>
    <t>Всего за две недели января</t>
  </si>
  <si>
    <t>X</t>
  </si>
  <si>
    <t>Х</t>
  </si>
  <si>
    <t>ССЧ=Среднесписочная численность работников</t>
  </si>
  <si>
    <t>ССЧ=Сумма явок работников по дням/Количество календарных дней периода</t>
  </si>
  <si>
    <t>На 01.01 было 8 человек, из которыъ 2 АУП</t>
  </si>
  <si>
    <t>На 06.01 Приняли 2 грузчиков на ставку 0.5 это как 1 человек на полную</t>
  </si>
  <si>
    <t>На 10.01 приняли 1 экспедитора на полную ставку</t>
  </si>
  <si>
    <t>Итого ССЧ считается как</t>
  </si>
  <si>
    <t>Фонды рабочего времени</t>
  </si>
  <si>
    <t>Число рабочих дней(магазин работает без выходных) 15 дней</t>
  </si>
  <si>
    <t>У ауп 4 выходных(суббота и воскресенье по 2 раза) 11 дней</t>
  </si>
  <si>
    <t>Для расчета фонда считаем по общему числу рабочих дней т.е 11 дней</t>
  </si>
  <si>
    <t>Целодневные простои и отпуска 0 дгнй</t>
  </si>
  <si>
    <t>Неявки на работу(Можно взять разницу между максимальным воможным чел-днями и фактически отработанными</t>
  </si>
  <si>
    <t>максимально возможные чел-дни =ССЧ* на число рабочих дней</t>
  </si>
  <si>
    <t xml:space="preserve">фактическая  явка </t>
  </si>
  <si>
    <t>Неявок на работу</t>
  </si>
  <si>
    <t>Показатели и их единицы измерения</t>
  </si>
  <si>
    <t>Сумма</t>
  </si>
  <si>
    <t>1. Среднесписочная численность работников, чел.</t>
  </si>
  <si>
    <t>2. Число календарных дней, дн.</t>
  </si>
  <si>
    <t>3. Число рабочих дней, дн.</t>
  </si>
  <si>
    <t>4. Целодневные простои, чел.-дн.</t>
  </si>
  <si>
    <t>5. Ежегодный очередной отпуск, чел.-дн.</t>
  </si>
  <si>
    <t>6. Неявки на работу всего (по всем причинам), чел.-дн.</t>
  </si>
  <si>
    <t>Коэффициент  использования фондов времени</t>
  </si>
  <si>
    <t xml:space="preserve">Календарный фонд </t>
  </si>
  <si>
    <t xml:space="preserve">Табельный фонд </t>
  </si>
  <si>
    <t>Фактический фонд</t>
  </si>
  <si>
    <t xml:space="preserve">Коэффициенты </t>
  </si>
  <si>
    <t>Коэффициент использования рабочего времени K1 =Фф/Фк (Где Фф-фактически отработанные человеко дни, Фк Календарный фонд)</t>
  </si>
  <si>
    <t>Тоесть реально отработано 50% календарного времени</t>
  </si>
  <si>
    <t>Коэффициент использования табельного времени  времени K2=Фф/Фт(Где Фф-фактически отработанные человеко дни, Фт-табельный фонд)</t>
  </si>
  <si>
    <t xml:space="preserve"> ТОесть испольозованно 68% рабочего времени</t>
  </si>
  <si>
    <t>Показатели</t>
  </si>
  <si>
    <t>Плановые данные,</t>
  </si>
  <si>
    <t>Фактические данные,</t>
  </si>
  <si>
    <t>тыс. руб.</t>
  </si>
  <si>
    <t>Фонд заработной платы</t>
  </si>
  <si>
    <t>Доход от реализации продукции</t>
  </si>
  <si>
    <t>Среднесписочная численность, чел.</t>
  </si>
  <si>
    <t>Абсолютное отконение abc=Фактические данные-планновые данные</t>
  </si>
  <si>
    <t>тыс.руб.</t>
  </si>
  <si>
    <t>Доход</t>
  </si>
  <si>
    <t>Фонд ЗП уменьшился на 6 тыс.руб а Доход на 10тыс.руб</t>
  </si>
  <si>
    <t>Относительное отклонение(в процентах) отн = abc/план*100%</t>
  </si>
  <si>
    <t>Фонд зп снизился на  5.22% а доход на  0.54%</t>
  </si>
  <si>
    <t>Средняя заработная плата ЗПср=Фонд заработной платы/ССЧ</t>
  </si>
  <si>
    <t>Расчет по факту Зпср(факт)=Фактический фонд ЗП/ Фактическая ССЧ</t>
  </si>
  <si>
    <t>Изменения средние ЗП = ЗПср(факт)-ЗПср</t>
  </si>
  <si>
    <t>Абсолютное отклонение</t>
  </si>
  <si>
    <t xml:space="preserve">Относительное отклонение(в процентах) </t>
  </si>
  <si>
    <t>Средняя заработная плата снизилась на 3,17 тыс.руб (22.1%)</t>
  </si>
  <si>
    <t>Анализ и выводы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</si>
</sst>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0" fillId="0" borderId="0" xfId="0" applyNumberFormat="1">
      <alignment vertical="center"/>
    </xf>
    <xf numFmtId="0" fontId="1" fillId="0" borderId="1" xfId="0" applyFont="1" applyBorder="1" applyAlignment="1">
      <alignment vertical="top" wrapText="1"/>
    </xf>
    <xf numFmtId="10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597535</xdr:colOff>
      <xdr:row>0</xdr:row>
      <xdr:rowOff>635</xdr:rowOff>
    </xdr:from>
    <xdr:to>
      <xdr:col>14</xdr:col>
      <xdr:colOff>54610</xdr:colOff>
      <xdr:row>20</xdr:row>
      <xdr:rowOff>137160</xdr:rowOff>
    </xdr:to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36790" y="635"/>
          <a:ext cx="8305800" cy="4238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93980</xdr:colOff>
      <xdr:row>21</xdr:row>
      <xdr:rowOff>89535</xdr:rowOff>
    </xdr:from>
    <xdr:to>
      <xdr:col>14</xdr:col>
      <xdr:colOff>8255</xdr:colOff>
      <xdr:row>30</xdr:row>
      <xdr:rowOff>51435</xdr:rowOff>
    </xdr:to>
    <xdr:pic>
      <xdr:nvPicPr>
        <xdr:cNvPr id="3" name="Изображение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42835" y="4382135"/>
          <a:ext cx="8153400" cy="167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37465</xdr:colOff>
      <xdr:row>31</xdr:row>
      <xdr:rowOff>67310</xdr:rowOff>
    </xdr:from>
    <xdr:to>
      <xdr:col>13</xdr:col>
      <xdr:colOff>485140</xdr:colOff>
      <xdr:row>48</xdr:row>
      <xdr:rowOff>3810</xdr:rowOff>
    </xdr:to>
    <xdr:pic>
      <xdr:nvPicPr>
        <xdr:cNvPr id="4" name="Изображение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386320" y="6264910"/>
          <a:ext cx="8077200" cy="323850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0</xdr:col>
      <xdr:colOff>57150</xdr:colOff>
      <xdr:row>96</xdr:row>
      <xdr:rowOff>85725</xdr:rowOff>
    </xdr:from>
    <xdr:ext cx="8963660" cy="1553210"/>
    <xdr:sp>
      <xdr:nvSpPr>
        <xdr:cNvPr id="5" name="Текстовое поле 4"/>
        <xdr:cNvSpPr txBox="1"/>
      </xdr:nvSpPr>
      <xdr:spPr>
        <a:xfrm>
          <a:off x="57150" y="18780125"/>
          <a:ext cx="8963660" cy="15532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Причины снижения-фонд зарплаты уменьшился на 5.2 % а численость работников выросла (с 8 до 9.7 человек)</a:t>
          </a:r>
          <a:endParaRPr lang="ru-RU" altLang="en-US" sz="1100"/>
        </a:p>
        <a:p>
          <a:pPr algn="l"/>
          <a:r>
            <a:rPr lang="ru-RU" altLang="en-US" sz="1100"/>
            <a:t>В результате деньги распределили между большим количеством работников, т.е каждый получил меньше.</a:t>
          </a:r>
          <a:endParaRPr lang="ru-RU" altLang="en-US" sz="1100"/>
        </a:p>
        <a:p>
          <a:pPr algn="l"/>
          <a:r>
            <a:rPr lang="ru-RU" altLang="en-US" sz="1100"/>
            <a:t>Но доход магазина почти не упал (упал на 0.5%) но сокращение ЗП на 22.1% может в сильно повлиять на сотрудников компании</a:t>
          </a:r>
          <a:endParaRPr lang="ru-RU" altLang="en-US" sz="1100"/>
        </a:p>
        <a:p>
          <a:pPr algn="l"/>
          <a:r>
            <a:rPr lang="ru-RU" altLang="en-US" sz="1100"/>
            <a:t>Вывод</a:t>
          </a:r>
          <a:r>
            <a:rPr lang="en-US" altLang="ru-RU" sz="1100"/>
            <a:t>:</a:t>
          </a:r>
          <a:endParaRPr lang="en-US" altLang="ru-RU" sz="1100"/>
        </a:p>
        <a:p>
          <a:pPr algn="l"/>
          <a:r>
            <a:rPr lang="ru-RU" altLang="en-US" sz="1100"/>
            <a:t>Проблема не только в уменьшении фонда ЗП, но и в увеличении числа работников. </a:t>
          </a:r>
          <a:endParaRPr lang="ru-RU" altLang="en-US" sz="1100"/>
        </a:p>
        <a:p>
          <a:pPr algn="l"/>
          <a:r>
            <a:rPr lang="ru-RU" altLang="en-US" sz="1100"/>
            <a:t>При такой динамике средняя зарплата падает быстрее, чем фонд ЗП, что указывает на неэффективное планирование численности и оплаты труда.</a:t>
          </a:r>
          <a:endParaRPr lang="ru-RU" altLang="en-US" sz="1100"/>
        </a:p>
        <a:p>
          <a:pPr algn="l"/>
          <a:endParaRPr lang="ru-RU" altLang="en-US" sz="1100"/>
        </a:p>
        <a:p>
          <a:pPr algn="l"/>
          <a:endParaRPr lang="ru-RU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6"/>
  <sheetViews>
    <sheetView tabSelected="1" topLeftCell="A68" workbookViewId="0">
      <selection activeCell="B106" sqref="B106"/>
    </sheetView>
  </sheetViews>
  <sheetFormatPr defaultColWidth="9.14285714285714" defaultRowHeight="15" outlineLevelCol="2"/>
  <cols>
    <col min="1" max="1" width="50.0761904761905" customWidth="1"/>
    <col min="2" max="2" width="18.5714285714286" customWidth="1"/>
    <col min="3" max="3" width="23.2857142857143" customWidth="1"/>
    <col min="7" max="7" width="50.4285714285714" customWidth="1"/>
  </cols>
  <sheetData>
    <row r="1" ht="53" customHeight="1" spans="1:3">
      <c r="A1" s="1" t="s">
        <v>0</v>
      </c>
      <c r="B1" s="1" t="s">
        <v>1</v>
      </c>
      <c r="C1" s="1" t="s">
        <v>2</v>
      </c>
    </row>
    <row r="2" hidden="1" spans="1:3">
      <c r="A2" s="2"/>
      <c r="B2" s="1"/>
      <c r="C2" s="1"/>
    </row>
    <row r="3" spans="1:3">
      <c r="A3" s="1" t="s">
        <v>3</v>
      </c>
      <c r="B3" s="1"/>
      <c r="C3" s="1"/>
    </row>
    <row r="4" ht="16" customHeight="1" spans="1:3">
      <c r="A4" s="3" t="s">
        <v>4</v>
      </c>
      <c r="B4" s="1" t="s">
        <v>5</v>
      </c>
      <c r="C4" s="1">
        <v>5</v>
      </c>
    </row>
    <row r="5" spans="1:3">
      <c r="A5" s="3" t="s">
        <v>6</v>
      </c>
      <c r="B5" s="1" t="s">
        <v>7</v>
      </c>
      <c r="C5" s="1">
        <v>6</v>
      </c>
    </row>
    <row r="6" ht="18" customHeight="1" spans="1:3">
      <c r="A6" s="3" t="s">
        <v>8</v>
      </c>
      <c r="B6" s="1">
        <v>6</v>
      </c>
      <c r="C6" s="1">
        <f>B6</f>
        <v>6</v>
      </c>
    </row>
    <row r="7" spans="1:3">
      <c r="A7" s="3" t="s">
        <v>9</v>
      </c>
      <c r="B7" s="1">
        <v>4</v>
      </c>
      <c r="C7" s="1">
        <f t="shared" ref="C7:C18" si="0">B7</f>
        <v>4</v>
      </c>
    </row>
    <row r="8" customHeight="1" spans="1:3">
      <c r="A8" s="3" t="s">
        <v>10</v>
      </c>
      <c r="B8" s="1">
        <v>4</v>
      </c>
      <c r="C8" s="1">
        <f t="shared" si="0"/>
        <v>4</v>
      </c>
    </row>
    <row r="9" spans="1:3">
      <c r="A9" s="3" t="s">
        <v>11</v>
      </c>
      <c r="B9" s="1">
        <v>6</v>
      </c>
      <c r="C9" s="1">
        <f t="shared" si="0"/>
        <v>6</v>
      </c>
    </row>
    <row r="10" ht="14" customHeight="1" spans="1:3">
      <c r="A10" s="3" t="s">
        <v>12</v>
      </c>
      <c r="B10" s="1">
        <v>6</v>
      </c>
      <c r="C10" s="1">
        <f t="shared" si="0"/>
        <v>6</v>
      </c>
    </row>
    <row r="11" spans="1:3">
      <c r="A11" s="3" t="s">
        <v>13</v>
      </c>
      <c r="B11" s="1">
        <v>5</v>
      </c>
      <c r="C11" s="1">
        <f t="shared" si="0"/>
        <v>5</v>
      </c>
    </row>
    <row r="12" customHeight="1" spans="1:3">
      <c r="A12" s="4" t="s">
        <v>14</v>
      </c>
      <c r="B12" s="5">
        <v>7</v>
      </c>
      <c r="C12" s="1">
        <f t="shared" si="0"/>
        <v>7</v>
      </c>
    </row>
    <row r="13" spans="1:3">
      <c r="A13" s="6" t="s">
        <v>15</v>
      </c>
      <c r="B13" s="5">
        <v>5</v>
      </c>
      <c r="C13" s="1">
        <f t="shared" si="0"/>
        <v>5</v>
      </c>
    </row>
    <row r="14" customHeight="1" spans="1:3">
      <c r="A14" s="6" t="s">
        <v>16</v>
      </c>
      <c r="B14" s="5">
        <v>3</v>
      </c>
      <c r="C14" s="1">
        <f t="shared" si="0"/>
        <v>3</v>
      </c>
    </row>
    <row r="15" spans="1:3">
      <c r="A15" s="6" t="s">
        <v>17</v>
      </c>
      <c r="B15" s="5">
        <v>4</v>
      </c>
      <c r="C15" s="1">
        <f t="shared" si="0"/>
        <v>4</v>
      </c>
    </row>
    <row r="16" ht="13" customHeight="1" spans="1:3">
      <c r="A16" s="6" t="s">
        <v>18</v>
      </c>
      <c r="B16" s="5">
        <v>4</v>
      </c>
      <c r="C16" s="1">
        <f t="shared" si="0"/>
        <v>4</v>
      </c>
    </row>
    <row r="17" spans="1:3">
      <c r="A17" s="6" t="s">
        <v>19</v>
      </c>
      <c r="B17" s="5">
        <v>4</v>
      </c>
      <c r="C17" s="1">
        <f t="shared" si="0"/>
        <v>4</v>
      </c>
    </row>
    <row r="18" ht="14" customHeight="1" spans="1:3">
      <c r="A18" s="6" t="s">
        <v>20</v>
      </c>
      <c r="B18" s="5">
        <v>4</v>
      </c>
      <c r="C18" s="1">
        <f t="shared" si="0"/>
        <v>4</v>
      </c>
    </row>
    <row r="19" customHeight="1" spans="1:3">
      <c r="A19" s="3" t="s">
        <v>21</v>
      </c>
      <c r="B19" s="1" t="s">
        <v>22</v>
      </c>
      <c r="C19" s="1" t="s">
        <v>23</v>
      </c>
    </row>
    <row r="22" spans="1:1">
      <c r="A22" t="s">
        <v>24</v>
      </c>
    </row>
    <row r="23" spans="1:1">
      <c r="A23" t="s">
        <v>25</v>
      </c>
    </row>
    <row r="25" spans="1:1">
      <c r="A25" t="s">
        <v>26</v>
      </c>
    </row>
    <row r="26" spans="1:1">
      <c r="A26" t="s">
        <v>27</v>
      </c>
    </row>
    <row r="27" spans="1:1">
      <c r="A27" t="s">
        <v>28</v>
      </c>
    </row>
    <row r="29" spans="1:2">
      <c r="A29" t="s">
        <v>29</v>
      </c>
      <c r="B29">
        <f>(8*5+9*4+10*7)/15</f>
        <v>9.73333333333333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6" spans="1:1">
      <c r="A36" t="s">
        <v>34</v>
      </c>
    </row>
    <row r="37" customHeight="1" spans="1:1">
      <c r="A37" t="s">
        <v>35</v>
      </c>
    </row>
    <row r="38" spans="1:1">
      <c r="A38" t="s">
        <v>36</v>
      </c>
    </row>
    <row r="39" spans="1:1">
      <c r="A39">
        <f>B29*11</f>
        <v>107.066666666667</v>
      </c>
    </row>
    <row r="40" spans="1:2">
      <c r="A40" t="s">
        <v>37</v>
      </c>
      <c r="B40" s="7">
        <f>SUM(C4:C18)</f>
        <v>73</v>
      </c>
    </row>
    <row r="41" spans="1:2">
      <c r="A41">
        <f>A39-B40</f>
        <v>34.0666666666667</v>
      </c>
      <c r="B41" t="s">
        <v>38</v>
      </c>
    </row>
    <row r="44" ht="19" customHeight="1" spans="1:2">
      <c r="A44" s="1" t="s">
        <v>39</v>
      </c>
      <c r="B44" s="1" t="s">
        <v>40</v>
      </c>
    </row>
    <row r="45" customHeight="1" spans="1:2">
      <c r="A45" s="8" t="s">
        <v>41</v>
      </c>
      <c r="B45" s="1">
        <f>B29</f>
        <v>9.73333333333333</v>
      </c>
    </row>
    <row r="46" customHeight="1" spans="1:2">
      <c r="A46" s="8" t="s">
        <v>42</v>
      </c>
      <c r="B46" s="1">
        <f>15</f>
        <v>15</v>
      </c>
    </row>
    <row r="47" customHeight="1" spans="1:2">
      <c r="A47" s="8" t="s">
        <v>43</v>
      </c>
      <c r="B47" s="1">
        <f>11</f>
        <v>11</v>
      </c>
    </row>
    <row r="48" ht="16" customHeight="1" spans="1:2">
      <c r="A48" s="8" t="s">
        <v>44</v>
      </c>
      <c r="B48" s="1">
        <f>0</f>
        <v>0</v>
      </c>
    </row>
    <row r="49" ht="17" customHeight="1" spans="1:2">
      <c r="A49" s="8" t="s">
        <v>45</v>
      </c>
      <c r="B49" s="1">
        <f>0</f>
        <v>0</v>
      </c>
    </row>
    <row r="50" ht="17" customHeight="1" spans="1:2">
      <c r="A50" s="8" t="s">
        <v>46</v>
      </c>
      <c r="B50" s="2">
        <f>A41</f>
        <v>34.0666666666667</v>
      </c>
    </row>
    <row r="52" spans="1:1">
      <c r="A52" t="s">
        <v>47</v>
      </c>
    </row>
    <row r="53" spans="1:2">
      <c r="A53" t="s">
        <v>48</v>
      </c>
      <c r="B53">
        <f>B46*B45</f>
        <v>146</v>
      </c>
    </row>
    <row r="54" spans="1:2">
      <c r="A54" t="s">
        <v>49</v>
      </c>
      <c r="B54">
        <f>B45*B47</f>
        <v>107.066666666667</v>
      </c>
    </row>
    <row r="55" spans="1:2">
      <c r="A55" t="s">
        <v>50</v>
      </c>
      <c r="B55" s="7">
        <f>SUM(C4:C18)</f>
        <v>73</v>
      </c>
    </row>
    <row r="56" spans="1:1">
      <c r="A56" t="s">
        <v>51</v>
      </c>
    </row>
    <row r="57" spans="1:1">
      <c r="A57" t="s">
        <v>52</v>
      </c>
    </row>
    <row r="58" spans="1:1">
      <c r="A58">
        <f>B55/B53</f>
        <v>0.5</v>
      </c>
    </row>
    <row r="59" spans="1:1">
      <c r="A59" t="s">
        <v>53</v>
      </c>
    </row>
    <row r="61" spans="1:1">
      <c r="A61" t="s">
        <v>54</v>
      </c>
    </row>
    <row r="62" spans="1:1">
      <c r="A62">
        <f>B55/A39</f>
        <v>0.681818181818182</v>
      </c>
    </row>
    <row r="63" spans="1:1">
      <c r="A63" t="s">
        <v>55</v>
      </c>
    </row>
    <row r="65" spans="1:3">
      <c r="A65" s="1" t="s">
        <v>56</v>
      </c>
      <c r="B65" s="1" t="s">
        <v>57</v>
      </c>
      <c r="C65" s="1" t="s">
        <v>58</v>
      </c>
    </row>
    <row r="66" spans="1:3">
      <c r="A66" s="1"/>
      <c r="B66" s="2"/>
      <c r="C66" s="2"/>
    </row>
    <row r="67" spans="1:3">
      <c r="A67" s="1"/>
      <c r="B67" s="1" t="s">
        <v>59</v>
      </c>
      <c r="C67" s="1" t="s">
        <v>59</v>
      </c>
    </row>
    <row r="68" spans="1:3">
      <c r="A68" s="3" t="s">
        <v>60</v>
      </c>
      <c r="B68" s="1">
        <v>115</v>
      </c>
      <c r="C68" s="1">
        <v>109</v>
      </c>
    </row>
    <row r="69" spans="1:3">
      <c r="A69" s="3" t="s">
        <v>61</v>
      </c>
      <c r="B69" s="1">
        <v>1870</v>
      </c>
      <c r="C69" s="1">
        <v>1860</v>
      </c>
    </row>
    <row r="70" spans="1:3">
      <c r="A70" s="3" t="s">
        <v>62</v>
      </c>
      <c r="B70" s="1">
        <v>8</v>
      </c>
      <c r="C70" s="2">
        <f>B45</f>
        <v>9.73333333333333</v>
      </c>
    </row>
    <row r="72" spans="1:1">
      <c r="A72" t="s">
        <v>63</v>
      </c>
    </row>
    <row r="73" spans="1:1">
      <c r="A73" t="s">
        <v>60</v>
      </c>
    </row>
    <row r="74" spans="1:2">
      <c r="A74">
        <f>C68-B68</f>
        <v>-6</v>
      </c>
      <c r="B74" t="s">
        <v>64</v>
      </c>
    </row>
    <row r="75" spans="1:1">
      <c r="A75" t="s">
        <v>65</v>
      </c>
    </row>
    <row r="76" spans="1:2">
      <c r="A76">
        <f>C69-B69</f>
        <v>-10</v>
      </c>
      <c r="B76" t="s">
        <v>59</v>
      </c>
    </row>
    <row r="77" spans="1:1">
      <c r="A77" t="s">
        <v>66</v>
      </c>
    </row>
    <row r="78" spans="1:1">
      <c r="A78" t="s">
        <v>67</v>
      </c>
    </row>
    <row r="79" spans="1:1">
      <c r="A79" t="s">
        <v>60</v>
      </c>
    </row>
    <row r="80" spans="1:1">
      <c r="A80" s="9">
        <f>(A74/B68)*100%</f>
        <v>-0.0521739130434783</v>
      </c>
    </row>
    <row r="81" spans="1:1">
      <c r="A81" t="s">
        <v>65</v>
      </c>
    </row>
    <row r="82" spans="1:1">
      <c r="A82" s="9">
        <f>A76/C69*100%</f>
        <v>-0.00537634408602151</v>
      </c>
    </row>
    <row r="83" spans="1:1">
      <c r="A83" t="s">
        <v>68</v>
      </c>
    </row>
    <row r="85" spans="1:1">
      <c r="A85" t="s">
        <v>69</v>
      </c>
    </row>
    <row r="86" spans="1:2">
      <c r="A86">
        <f>B68/B70</f>
        <v>14.375</v>
      </c>
      <c r="B86" t="s">
        <v>64</v>
      </c>
    </row>
    <row r="87" spans="1:1">
      <c r="A87" t="s">
        <v>70</v>
      </c>
    </row>
    <row r="88" spans="1:2">
      <c r="A88">
        <f>C68/B45</f>
        <v>11.1986301369863</v>
      </c>
      <c r="B88" t="s">
        <v>59</v>
      </c>
    </row>
    <row r="89" spans="1:1">
      <c r="A89" t="s">
        <v>71</v>
      </c>
    </row>
    <row r="90" spans="1:1">
      <c r="A90" t="s">
        <v>72</v>
      </c>
    </row>
    <row r="91" spans="1:2">
      <c r="A91">
        <f>A88-A86</f>
        <v>-3.1763698630137</v>
      </c>
      <c r="B91" t="s">
        <v>59</v>
      </c>
    </row>
    <row r="92" spans="1:1">
      <c r="A92" t="s">
        <v>73</v>
      </c>
    </row>
    <row r="93" spans="1:1">
      <c r="A93" s="9">
        <f>A91/A86*100%</f>
        <v>-0.220964860035735</v>
      </c>
    </row>
    <row r="94" spans="1:1">
      <c r="A94" t="s">
        <v>74</v>
      </c>
    </row>
    <row r="96" spans="1:1">
      <c r="A96" t="s">
        <v>75</v>
      </c>
    </row>
  </sheetData>
  <mergeCells count="3">
    <mergeCell ref="A65:A67"/>
    <mergeCell ref="B1:B3"/>
    <mergeCell ref="C1:C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ВЫХУХОЛЬ</dc:creator>
  <cp:lastModifiedBy>ВЫХУХОЛЬ</cp:lastModifiedBy>
  <dcterms:created xsi:type="dcterms:W3CDTF">2025-09-23T11:06:25Z</dcterms:created>
  <dcterms:modified xsi:type="dcterms:W3CDTF">2025-09-23T12:00:32Z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012B446F789C4AD0B8E6C622A6F435A0_13</vt:lpwstr>
  </property>
  <property fmtid="{D5CDD505-2E9C-101B-9397-08002B2CF9AE}" pid="3" name="KSOProductBuildVer">
    <vt:lpwstr>1049-12.2.0.22556</vt:lpwstr>
  </property>
</Properties>
</file>