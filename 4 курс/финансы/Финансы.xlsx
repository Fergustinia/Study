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 activeTab="1"/>
  </bookViews>
  <sheets>
    <sheet name="Учетная книга" sheetId="1" r:id="rId1"/>
    <sheet name="Расчетная книга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<sst xmlns="http://schemas.openxmlformats.org/spreadsheetml/2006/main" count="189" uniqueCount="157">
  <si>
    <t>№ пп</t>
  </si>
  <si>
    <t>№№ счет - кор. счет</t>
  </si>
  <si>
    <t>Сальдо
 начальное</t>
  </si>
  <si>
    <t>Обороты</t>
  </si>
  <si>
    <t>Сальдо
исходящее</t>
  </si>
  <si>
    <t>№ п/п</t>
  </si>
  <si>
    <t>Дата</t>
  </si>
  <si>
    <t>Наименование операции</t>
  </si>
  <si>
    <t xml:space="preserve"> Дебет сч.</t>
  </si>
  <si>
    <t>Кредит сч.</t>
  </si>
  <si>
    <t>Сумма,
тыс. руб.</t>
  </si>
  <si>
    <t>Д</t>
  </si>
  <si>
    <t>К</t>
  </si>
  <si>
    <t>Актив</t>
  </si>
  <si>
    <t>∑ тыс. руб.</t>
  </si>
  <si>
    <t>Пассив</t>
  </si>
  <si>
    <t>∑тыс.руб.</t>
  </si>
  <si>
    <t xml:space="preserve">Оплатили купленный материал </t>
  </si>
  <si>
    <t>51</t>
  </si>
  <si>
    <t>01*</t>
  </si>
  <si>
    <t>Основные средства (01,02)</t>
  </si>
  <si>
    <t>Уставной капитал (80)</t>
  </si>
  <si>
    <t>Выделен НДС из стоимости купленного материала</t>
  </si>
  <si>
    <t>19--3</t>
  </si>
  <si>
    <t>02</t>
  </si>
  <si>
    <t>Амортизацион. отчисления (02)</t>
  </si>
  <si>
    <t>Получили у поставщика материал и поставили на баланс материал</t>
  </si>
  <si>
    <t>02-20</t>
  </si>
  <si>
    <t>Материалы (10)</t>
  </si>
  <si>
    <t xml:space="preserve">  20.10.2025</t>
  </si>
  <si>
    <t>Закупка товара за наличные средства</t>
  </si>
  <si>
    <t>02*</t>
  </si>
  <si>
    <t xml:space="preserve">Нематериальные активы (04) </t>
  </si>
  <si>
    <t>Выделен НДС из стоимости товара купленные за наличку</t>
  </si>
  <si>
    <t>04*</t>
  </si>
  <si>
    <t>Касса (50)</t>
  </si>
  <si>
    <t>Получили у поставщика товар и поставили на баланс товар</t>
  </si>
  <si>
    <t>10-60</t>
  </si>
  <si>
    <t>Расчётные счета (51)</t>
  </si>
  <si>
    <t>Налог на имущество</t>
  </si>
  <si>
    <t>99-3</t>
  </si>
  <si>
    <t>68-8</t>
  </si>
  <si>
    <t>10-20</t>
  </si>
  <si>
    <t xml:space="preserve">Баланс </t>
  </si>
  <si>
    <t xml:space="preserve">Проплатили налог на имущество </t>
  </si>
  <si>
    <t>Списанный Учредительский материал (без НДС)</t>
  </si>
  <si>
    <t>10*</t>
  </si>
  <si>
    <t>Списали купленный материал на производство продукции</t>
  </si>
  <si>
    <t>15-60</t>
  </si>
  <si>
    <t>Выделение НДС из стоимости списанного купленного материала</t>
  </si>
  <si>
    <t>68-2</t>
  </si>
  <si>
    <t>15-26</t>
  </si>
  <si>
    <t>Начисляем амортизацию</t>
  </si>
  <si>
    <t>15*</t>
  </si>
  <si>
    <t>Начисленная заработная плата сотруднику</t>
  </si>
  <si>
    <t>Начислены страховые взносы сотруднику с детьми</t>
  </si>
  <si>
    <t>Начислили НДФЛ сотруднику с 3-мя детьми</t>
  </si>
  <si>
    <t>68--1</t>
  </si>
  <si>
    <t xml:space="preserve">Получили транспортную услугу от сторонней организации </t>
  </si>
  <si>
    <t xml:space="preserve">Начисляем НДС по транспортной услуге </t>
  </si>
  <si>
    <t>19--4</t>
  </si>
  <si>
    <t>Списываем транспортные услуги на общие хоз затраты</t>
  </si>
  <si>
    <t>Уменьшили задолжность перед бюджетом по ндс услуге (Оплатили НДС)</t>
  </si>
  <si>
    <t>19*</t>
  </si>
  <si>
    <t>Зарплата поставщику за транспортные услуги</t>
  </si>
  <si>
    <t>20-10</t>
  </si>
  <si>
    <t>Продали продукцию 4-го квартала</t>
  </si>
  <si>
    <t>90-1</t>
  </si>
  <si>
    <t>Выделение НДС с проданной готовой продукции</t>
  </si>
  <si>
    <t>90-3</t>
  </si>
  <si>
    <t>20-02</t>
  </si>
  <si>
    <t>Поступили средства за готовую продукцию</t>
  </si>
  <si>
    <t>20-70</t>
  </si>
  <si>
    <t>Продажа товара со склада</t>
  </si>
  <si>
    <t>91-1</t>
  </si>
  <si>
    <t>20-69</t>
  </si>
  <si>
    <t>Выделение НДС за проданный товар</t>
  </si>
  <si>
    <t>91-3</t>
  </si>
  <si>
    <t>20*</t>
  </si>
  <si>
    <t>Списываем фактическую стоимость ттоваром продажи в расходы</t>
  </si>
  <si>
    <t>91-2</t>
  </si>
  <si>
    <t>26*-15</t>
  </si>
  <si>
    <t>Списали НДС купленного товара (с его продажи)</t>
  </si>
  <si>
    <t>41-60</t>
  </si>
  <si>
    <t>Поступили средства за проданный полностью
со склада товар</t>
  </si>
  <si>
    <t>41*-91-2</t>
  </si>
  <si>
    <t>Запалатили соц страх выплаты</t>
  </si>
  <si>
    <t>69</t>
  </si>
  <si>
    <t>50</t>
  </si>
  <si>
    <t>Заплатили НДФЛ</t>
  </si>
  <si>
    <t>50-60</t>
  </si>
  <si>
    <t>Выплатили ЗП</t>
  </si>
  <si>
    <t>70</t>
  </si>
  <si>
    <t>50*</t>
  </si>
  <si>
    <t>Списали чистую прибыль</t>
  </si>
  <si>
    <t>99-9</t>
  </si>
  <si>
    <t>84-1</t>
  </si>
  <si>
    <t>51-60</t>
  </si>
  <si>
    <t>51. 68-8(ЕНП)</t>
  </si>
  <si>
    <t>51.-60</t>
  </si>
  <si>
    <t>51-62</t>
  </si>
  <si>
    <t>51-69</t>
  </si>
  <si>
    <t>51. 68-енп</t>
  </si>
  <si>
    <t>51-70</t>
  </si>
  <si>
    <t>51*</t>
  </si>
  <si>
    <t>60-51</t>
  </si>
  <si>
    <t>60-19--3</t>
  </si>
  <si>
    <t>60-10</t>
  </si>
  <si>
    <t>60-50</t>
  </si>
  <si>
    <t>60-41</t>
  </si>
  <si>
    <t>60-15</t>
  </si>
  <si>
    <t>60-19--4</t>
  </si>
  <si>
    <t>60*</t>
  </si>
  <si>
    <t>62. 90--1</t>
  </si>
  <si>
    <t>62-51</t>
  </si>
  <si>
    <t>62-91-1</t>
  </si>
  <si>
    <t>62*</t>
  </si>
  <si>
    <t>68--8 99-3</t>
  </si>
  <si>
    <t>68-8(ЕНП) -51</t>
  </si>
  <si>
    <t>68-2 19--3</t>
  </si>
  <si>
    <t>68--1. -70</t>
  </si>
  <si>
    <t>68-2. 19--4</t>
  </si>
  <si>
    <t>68-2. 90-3</t>
  </si>
  <si>
    <t>68-2. 91-3</t>
  </si>
  <si>
    <t>68-2. 19--3</t>
  </si>
  <si>
    <t>68-енп.-51</t>
  </si>
  <si>
    <t>68*</t>
  </si>
  <si>
    <t>69-20</t>
  </si>
  <si>
    <t>69-51</t>
  </si>
  <si>
    <t>69*</t>
  </si>
  <si>
    <t>70-20</t>
  </si>
  <si>
    <t>70.-68--1</t>
  </si>
  <si>
    <t>70-51</t>
  </si>
  <si>
    <t>70*</t>
  </si>
  <si>
    <t>80*</t>
  </si>
  <si>
    <t>90-1. -62</t>
  </si>
  <si>
    <t>90-3. 68-2</t>
  </si>
  <si>
    <t>90*</t>
  </si>
  <si>
    <t>91-1. -62</t>
  </si>
  <si>
    <t>91-3. 68--2</t>
  </si>
  <si>
    <t>91-2. -41</t>
  </si>
  <si>
    <t>91*</t>
  </si>
  <si>
    <t>99-3*-68-8</t>
  </si>
  <si>
    <t>99-9 68-4</t>
  </si>
  <si>
    <t>99*</t>
  </si>
  <si>
    <t>99-1 84-1</t>
  </si>
  <si>
    <t>Спи</t>
  </si>
  <si>
    <t>Баланс</t>
  </si>
  <si>
    <t>Наименование объекта</t>
  </si>
  <si>
    <t>Код</t>
  </si>
  <si>
    <t>На начало отчетного периода</t>
  </si>
  <si>
    <t>Внеоборотные активы</t>
  </si>
  <si>
    <t>Основные средства(01,02)</t>
  </si>
  <si>
    <t>Нематериальные активы(04,05)</t>
  </si>
  <si>
    <t>Итого по разделу</t>
  </si>
  <si>
    <t>Оборотные активы</t>
  </si>
  <si>
    <t>Производственные запасы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</si>
</sst>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.000"/>
    <numFmt numFmtId="182" formatCode="[$-419]mmm\.yy"/>
    <numFmt numFmtId="183" formatCode="0\.00_);[Red]\(0\.00\)"/>
  </numFmts>
  <fonts count="27">
    <font>
      <sz val="11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7" borderId="22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8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/>
    <xf numFmtId="180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181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/>
    </xf>
    <xf numFmtId="180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/>
    <xf numFmtId="0" fontId="5" fillId="0" borderId="8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left"/>
    </xf>
    <xf numFmtId="49" fontId="5" fillId="0" borderId="5" xfId="0" applyNumberFormat="1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180" fontId="5" fillId="0" borderId="9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/>
    <xf numFmtId="0" fontId="1" fillId="0" borderId="10" xfId="0" applyFont="1" applyFill="1" applyBorder="1" applyAlignment="1"/>
    <xf numFmtId="0" fontId="5" fillId="0" borderId="5" xfId="0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center"/>
    </xf>
    <xf numFmtId="49" fontId="5" fillId="0" borderId="4" xfId="0" applyNumberFormat="1" applyFont="1" applyFill="1" applyBorder="1" applyAlignment="1">
      <alignment horizontal="center" vertical="center"/>
    </xf>
    <xf numFmtId="181" fontId="5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49" fontId="5" fillId="0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181" fontId="5" fillId="0" borderId="1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/>
    <xf numFmtId="0" fontId="5" fillId="0" borderId="11" xfId="0" applyFont="1" applyFill="1" applyBorder="1" applyAlignment="1"/>
    <xf numFmtId="49" fontId="5" fillId="0" borderId="11" xfId="0" applyNumberFormat="1" applyFont="1" applyFill="1" applyBorder="1" applyAlignment="1">
      <alignment horizontal="center" vertical="center"/>
    </xf>
    <xf numFmtId="181" fontId="5" fillId="0" borderId="11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80" fontId="1" fillId="0" borderId="12" xfId="0" applyNumberFormat="1" applyFont="1" applyBorder="1" applyAlignment="1">
      <alignment horizontal="center" vertical="center"/>
    </xf>
    <xf numFmtId="181" fontId="1" fillId="0" borderId="1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82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83" fontId="1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1" fillId="0" borderId="13" xfId="0" applyFont="1" applyFill="1" applyBorder="1" applyAlignment="1"/>
    <xf numFmtId="0" fontId="4" fillId="0" borderId="8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181" fontId="4" fillId="2" borderId="5" xfId="0" applyNumberFormat="1" applyFont="1" applyFill="1" applyBorder="1" applyAlignment="1">
      <alignment horizontal="center" vertical="center"/>
    </xf>
    <xf numFmtId="181" fontId="5" fillId="2" borderId="8" xfId="0" applyNumberFormat="1" applyFont="1" applyFill="1" applyBorder="1" applyAlignment="1">
      <alignment horizontal="center" vertical="center"/>
    </xf>
    <xf numFmtId="181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/>
    <xf numFmtId="181" fontId="4" fillId="2" borderId="13" xfId="0" applyNumberFormat="1" applyFont="1" applyFill="1" applyBorder="1" applyAlignment="1">
      <alignment horizontal="center" vertical="center"/>
    </xf>
    <xf numFmtId="181" fontId="5" fillId="0" borderId="1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81" fontId="4" fillId="0" borderId="13" xfId="0" applyNumberFormat="1" applyFont="1" applyFill="1" applyBorder="1" applyAlignment="1">
      <alignment horizontal="center" vertical="center"/>
    </xf>
    <xf numFmtId="181" fontId="4" fillId="0" borderId="5" xfId="0" applyNumberFormat="1" applyFont="1" applyFill="1" applyBorder="1" applyAlignment="1"/>
    <xf numFmtId="181" fontId="5" fillId="0" borderId="6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81" fontId="4" fillId="0" borderId="5" xfId="0" applyNumberFormat="1" applyFont="1" applyFill="1" applyBorder="1" applyAlignment="1">
      <alignment vertical="center" wrapText="1"/>
    </xf>
    <xf numFmtId="181" fontId="4" fillId="0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181" fontId="5" fillId="0" borderId="13" xfId="0" applyNumberFormat="1" applyFont="1" applyFill="1" applyBorder="1" applyAlignment="1">
      <alignment horizontal="center"/>
    </xf>
    <xf numFmtId="181" fontId="4" fillId="0" borderId="13" xfId="0" applyNumberFormat="1" applyFont="1" applyFill="1" applyBorder="1" applyAlignment="1">
      <alignment horizontal="center"/>
    </xf>
    <xf numFmtId="181" fontId="5" fillId="0" borderId="16" xfId="0" applyNumberFormat="1" applyFont="1" applyFill="1" applyBorder="1" applyAlignment="1">
      <alignment horizontal="center"/>
    </xf>
    <xf numFmtId="181" fontId="4" fillId="0" borderId="16" xfId="0" applyNumberFormat="1" applyFont="1" applyFill="1" applyBorder="1" applyAlignment="1">
      <alignment horizontal="center"/>
    </xf>
    <xf numFmtId="181" fontId="5" fillId="0" borderId="5" xfId="0" applyNumberFormat="1" applyFont="1" applyFill="1" applyBorder="1" applyAlignment="1">
      <alignment horizontal="center"/>
    </xf>
    <xf numFmtId="181" fontId="4" fillId="0" borderId="6" xfId="0" applyNumberFormat="1" applyFont="1" applyFill="1" applyBorder="1" applyAlignment="1">
      <alignment horizontal="center" vertical="center"/>
    </xf>
    <xf numFmtId="181" fontId="4" fillId="0" borderId="10" xfId="0" applyNumberFormat="1" applyFont="1" applyFill="1" applyBorder="1" applyAlignment="1">
      <alignment horizontal="center"/>
    </xf>
    <xf numFmtId="181" fontId="4" fillId="0" borderId="6" xfId="0" applyNumberFormat="1" applyFont="1" applyFill="1" applyBorder="1" applyAlignment="1">
      <alignment horizontal="center"/>
    </xf>
    <xf numFmtId="181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181" fontId="4" fillId="0" borderId="4" xfId="0" applyNumberFormat="1" applyFont="1" applyFill="1" applyBorder="1" applyAlignment="1">
      <alignment horizontal="center" vertical="center"/>
    </xf>
    <xf numFmtId="181" fontId="5" fillId="0" borderId="5" xfId="0" applyNumberFormat="1" applyFont="1" applyFill="1" applyBorder="1" applyAlignment="1"/>
    <xf numFmtId="49" fontId="5" fillId="0" borderId="8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181" fontId="5" fillId="0" borderId="10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wrapText="1"/>
    </xf>
    <xf numFmtId="0" fontId="5" fillId="0" borderId="0" xfId="0" applyFont="1" applyFill="1" applyAlignment="1"/>
    <xf numFmtId="0" fontId="4" fillId="0" borderId="5" xfId="0" applyFont="1" applyFill="1" applyBorder="1" applyAlignment="1">
      <alignment horizontal="center" wrapText="1"/>
    </xf>
    <xf numFmtId="0" fontId="4" fillId="0" borderId="5" xfId="0" applyFont="1" applyFill="1" applyBorder="1" applyAlignment="1"/>
    <xf numFmtId="0" fontId="4" fillId="0" borderId="5" xfId="0" applyFont="1" applyFill="1" applyBorder="1" applyAlignment="1">
      <alignment horizontal="center"/>
    </xf>
    <xf numFmtId="181" fontId="4" fillId="3" borderId="5" xfId="0" applyNumberFormat="1" applyFont="1" applyFill="1" applyBorder="1" applyAlignment="1">
      <alignment horizontal="center" vertical="center"/>
    </xf>
    <xf numFmtId="181" fontId="4" fillId="4" borderId="5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 wrapText="1"/>
    </xf>
    <xf numFmtId="0" fontId="5" fillId="0" borderId="17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181" fontId="1" fillId="0" borderId="0" xfId="0" applyNumberFormat="1" applyFont="1" applyAlignment="1">
      <alignment horizontal="center" vertical="center"/>
    </xf>
    <xf numFmtId="181" fontId="1" fillId="0" borderId="0" xfId="0" applyNumberFormat="1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3"/>
  <sheetViews>
    <sheetView zoomScale="74" zoomScaleNormal="74" topLeftCell="J1" workbookViewId="0">
      <selection activeCell="T26" sqref="T26"/>
    </sheetView>
  </sheetViews>
  <sheetFormatPr defaultColWidth="10" defaultRowHeight="15"/>
  <cols>
    <col min="1" max="1" width="10.425" style="12" customWidth="1"/>
    <col min="2" max="2" width="11.125" style="12" customWidth="1"/>
    <col min="3" max="3" width="59.5" style="12" customWidth="1"/>
    <col min="4" max="4" width="10" style="12"/>
    <col min="5" max="5" width="27.625" style="12" customWidth="1"/>
    <col min="6" max="6" width="15.975" style="12" customWidth="1"/>
    <col min="7" max="9" width="10" style="12"/>
    <col min="10" max="10" width="14.875" style="12" customWidth="1"/>
    <col min="11" max="11" width="14.25" style="12" customWidth="1"/>
    <col min="12" max="15" width="11.125" style="12"/>
    <col min="16" max="16" width="10" style="12"/>
    <col min="17" max="17" width="18.5666666666667" style="12" customWidth="1"/>
    <col min="18" max="23" width="10" style="12"/>
    <col min="24" max="24" width="16.2916666666667" style="12" customWidth="1"/>
    <col min="25" max="25" width="30.3583333333333" style="12" customWidth="1"/>
    <col min="26" max="16384" width="10" style="12"/>
  </cols>
  <sheetData>
    <row r="1" ht="16" customHeight="1"/>
    <row r="2" ht="48" customHeight="1" spans="8:15">
      <c r="H2" s="13" t="s">
        <v>0</v>
      </c>
      <c r="I2" s="61" t="s">
        <v>1</v>
      </c>
      <c r="J2" s="62" t="s">
        <v>2</v>
      </c>
      <c r="K2" s="63"/>
      <c r="L2" s="64" t="s">
        <v>3</v>
      </c>
      <c r="M2" s="63"/>
      <c r="N2" s="62" t="s">
        <v>4</v>
      </c>
      <c r="O2" s="63"/>
    </row>
    <row r="3" ht="47" customHeight="1" spans="1:29">
      <c r="A3" s="14" t="s">
        <v>5</v>
      </c>
      <c r="B3" s="14" t="s">
        <v>6</v>
      </c>
      <c r="C3" s="15" t="s">
        <v>7</v>
      </c>
      <c r="D3" s="16" t="s">
        <v>8</v>
      </c>
      <c r="E3" s="16" t="s">
        <v>9</v>
      </c>
      <c r="F3" s="17" t="s">
        <v>10</v>
      </c>
      <c r="H3" s="18"/>
      <c r="I3" s="18"/>
      <c r="J3" s="16" t="s">
        <v>11</v>
      </c>
      <c r="K3" s="16" t="s">
        <v>12</v>
      </c>
      <c r="L3" s="65" t="s">
        <v>11</v>
      </c>
      <c r="M3" s="65" t="s">
        <v>12</v>
      </c>
      <c r="N3" s="16" t="s">
        <v>11</v>
      </c>
      <c r="O3" s="16" t="s">
        <v>12</v>
      </c>
      <c r="Q3" s="16" t="s">
        <v>13</v>
      </c>
      <c r="R3" s="14" t="s">
        <v>14</v>
      </c>
      <c r="S3" s="16" t="s">
        <v>15</v>
      </c>
      <c r="T3" s="14" t="s">
        <v>16</v>
      </c>
      <c r="X3"/>
      <c r="Y3"/>
      <c r="Z3"/>
      <c r="AA3"/>
      <c r="AB3"/>
      <c r="AC3"/>
    </row>
    <row r="4" ht="16.5" spans="1:29">
      <c r="A4" s="14">
        <v>1</v>
      </c>
      <c r="B4" s="19">
        <v>45931</v>
      </c>
      <c r="C4" s="20" t="s">
        <v>17</v>
      </c>
      <c r="D4" s="21">
        <v>60</v>
      </c>
      <c r="E4" s="22" t="s">
        <v>18</v>
      </c>
      <c r="F4" s="23">
        <v>200</v>
      </c>
      <c r="H4" s="24">
        <v>1</v>
      </c>
      <c r="I4" s="66" t="s">
        <v>19</v>
      </c>
      <c r="J4" s="67">
        <f>R4+R5</f>
        <v>1280</v>
      </c>
      <c r="K4" s="68"/>
      <c r="L4" s="69"/>
      <c r="M4" s="70"/>
      <c r="N4" s="71">
        <f>J4+L4-M4</f>
        <v>1280</v>
      </c>
      <c r="O4" s="67"/>
      <c r="Q4" s="73" t="s">
        <v>20</v>
      </c>
      <c r="R4" s="24">
        <v>1250</v>
      </c>
      <c r="S4" s="73" t="s">
        <v>21</v>
      </c>
      <c r="T4" s="24">
        <f>R10</f>
        <v>2150</v>
      </c>
      <c r="X4"/>
      <c r="Y4"/>
      <c r="Z4"/>
      <c r="AA4"/>
      <c r="AB4"/>
      <c r="AC4"/>
    </row>
    <row r="5" ht="15.75" spans="1:29">
      <c r="A5" s="14">
        <v>2</v>
      </c>
      <c r="B5" s="25">
        <v>45932</v>
      </c>
      <c r="C5" s="20" t="s">
        <v>22</v>
      </c>
      <c r="D5" s="22" t="s">
        <v>23</v>
      </c>
      <c r="E5" s="22">
        <v>60</v>
      </c>
      <c r="F5" s="23">
        <f>200*16.67%</f>
        <v>33.34</v>
      </c>
      <c r="H5" s="24">
        <v>2</v>
      </c>
      <c r="I5" s="22" t="s">
        <v>24</v>
      </c>
      <c r="J5" s="23"/>
      <c r="K5" s="23">
        <f>R5</f>
        <v>30</v>
      </c>
      <c r="L5" s="72"/>
      <c r="M5" s="73"/>
      <c r="N5" s="74"/>
      <c r="O5" s="75"/>
      <c r="Q5" s="73" t="s">
        <v>25</v>
      </c>
      <c r="R5" s="24">
        <v>30</v>
      </c>
      <c r="S5" s="73"/>
      <c r="T5" s="24"/>
      <c r="X5"/>
      <c r="Y5"/>
      <c r="Z5"/>
      <c r="AA5"/>
      <c r="AB5"/>
      <c r="AC5"/>
    </row>
    <row r="6" ht="16.5" spans="1:20">
      <c r="A6" s="14">
        <v>3</v>
      </c>
      <c r="B6" s="18"/>
      <c r="C6" s="20" t="s">
        <v>26</v>
      </c>
      <c r="D6" s="22">
        <v>10</v>
      </c>
      <c r="E6" s="22">
        <v>60</v>
      </c>
      <c r="F6" s="23">
        <f>F4-F5</f>
        <v>166.66</v>
      </c>
      <c r="H6" s="24">
        <v>3</v>
      </c>
      <c r="I6" s="22" t="s">
        <v>27</v>
      </c>
      <c r="J6" s="23"/>
      <c r="K6" s="23"/>
      <c r="L6" s="23"/>
      <c r="M6" s="76">
        <f>F15</f>
        <v>30</v>
      </c>
      <c r="N6" s="74"/>
      <c r="O6" s="75"/>
      <c r="Q6" s="73" t="s">
        <v>28</v>
      </c>
      <c r="R6" s="24">
        <v>300</v>
      </c>
      <c r="S6" s="73"/>
      <c r="T6" s="24"/>
    </row>
    <row r="7" ht="16.5" spans="1:20">
      <c r="A7" s="14">
        <v>4</v>
      </c>
      <c r="B7" s="26" t="s">
        <v>29</v>
      </c>
      <c r="C7" s="20" t="s">
        <v>30</v>
      </c>
      <c r="D7" s="22">
        <v>60</v>
      </c>
      <c r="E7" s="22">
        <v>50</v>
      </c>
      <c r="F7" s="23">
        <v>80</v>
      </c>
      <c r="H7" s="24">
        <v>4</v>
      </c>
      <c r="I7" s="77" t="s">
        <v>31</v>
      </c>
      <c r="J7" s="78"/>
      <c r="K7" s="79">
        <f>SUM(K5:K6)</f>
        <v>30</v>
      </c>
      <c r="L7" s="78"/>
      <c r="M7" s="78">
        <f>SUM(M5:M6)</f>
        <v>30</v>
      </c>
      <c r="N7" s="80"/>
      <c r="O7" s="81">
        <f>ABS(J7-K7+L7-M7)</f>
        <v>60</v>
      </c>
      <c r="Q7" s="73" t="s">
        <v>32</v>
      </c>
      <c r="R7" s="24">
        <v>80</v>
      </c>
      <c r="S7" s="73"/>
      <c r="T7" s="24"/>
    </row>
    <row r="8" ht="16.5" spans="1:20">
      <c r="A8" s="14">
        <v>5</v>
      </c>
      <c r="B8" s="27"/>
      <c r="C8" s="20" t="s">
        <v>33</v>
      </c>
      <c r="D8" s="22" t="s">
        <v>23</v>
      </c>
      <c r="E8" s="22">
        <v>60</v>
      </c>
      <c r="F8" s="23">
        <f>F7*16.67%</f>
        <v>13.336</v>
      </c>
      <c r="H8" s="24">
        <v>5</v>
      </c>
      <c r="I8" s="77" t="s">
        <v>34</v>
      </c>
      <c r="J8" s="78">
        <f>R7</f>
        <v>80</v>
      </c>
      <c r="K8" s="82"/>
      <c r="L8" s="78"/>
      <c r="M8" s="78"/>
      <c r="N8" s="80">
        <f>J8-K8+L8-M8</f>
        <v>80</v>
      </c>
      <c r="O8" s="82"/>
      <c r="Q8" s="73" t="s">
        <v>35</v>
      </c>
      <c r="R8" s="24">
        <v>120</v>
      </c>
      <c r="S8" s="73"/>
      <c r="T8" s="24"/>
    </row>
    <row r="9" ht="15.75" spans="1:20">
      <c r="A9" s="14">
        <v>6</v>
      </c>
      <c r="B9" s="18"/>
      <c r="C9" s="20" t="s">
        <v>36</v>
      </c>
      <c r="D9" s="22">
        <v>41</v>
      </c>
      <c r="E9" s="22">
        <v>60</v>
      </c>
      <c r="F9" s="23">
        <f>SUM(F7-F8)</f>
        <v>66.664</v>
      </c>
      <c r="H9" s="24">
        <v>6</v>
      </c>
      <c r="I9" s="83" t="s">
        <v>37</v>
      </c>
      <c r="J9" s="83"/>
      <c r="K9" s="83"/>
      <c r="L9" s="83">
        <v>166.66</v>
      </c>
      <c r="M9" s="83"/>
      <c r="N9" s="84"/>
      <c r="O9" s="84"/>
      <c r="Q9" s="73" t="s">
        <v>38</v>
      </c>
      <c r="R9" s="24">
        <v>400</v>
      </c>
      <c r="S9" s="73"/>
      <c r="T9" s="24"/>
    </row>
    <row r="10" ht="15.75" spans="1:20">
      <c r="A10" s="14">
        <v>7</v>
      </c>
      <c r="B10" s="19">
        <v>45951</v>
      </c>
      <c r="C10" s="20" t="s">
        <v>39</v>
      </c>
      <c r="D10" s="22" t="s">
        <v>40</v>
      </c>
      <c r="E10" s="22" t="s">
        <v>41</v>
      </c>
      <c r="F10" s="23">
        <f>(2.2%/4)*((R4+R5+R4)/4)</f>
        <v>3.47875</v>
      </c>
      <c r="H10" s="24">
        <v>7</v>
      </c>
      <c r="I10" s="85" t="s">
        <v>42</v>
      </c>
      <c r="J10" s="85"/>
      <c r="K10" s="85"/>
      <c r="L10" s="85"/>
      <c r="M10" s="85">
        <v>150</v>
      </c>
      <c r="N10" s="86"/>
      <c r="O10" s="86"/>
      <c r="Q10" s="101" t="s">
        <v>43</v>
      </c>
      <c r="R10" s="24">
        <f>SUM(R6:R9)+R4</f>
        <v>2150</v>
      </c>
      <c r="S10" s="101" t="s">
        <v>43</v>
      </c>
      <c r="T10" s="24">
        <f>SUM(T4:T9)</f>
        <v>2150</v>
      </c>
    </row>
    <row r="11" ht="16.5" spans="1:15">
      <c r="A11" s="14">
        <v>8</v>
      </c>
      <c r="B11" s="19">
        <v>45955</v>
      </c>
      <c r="C11" s="20" t="s">
        <v>44</v>
      </c>
      <c r="D11" s="22" t="s">
        <v>41</v>
      </c>
      <c r="E11" s="22">
        <v>51</v>
      </c>
      <c r="F11" s="23">
        <f>F10</f>
        <v>3.47875</v>
      </c>
      <c r="H11" s="28">
        <v>8</v>
      </c>
      <c r="I11" s="87" t="s">
        <v>42</v>
      </c>
      <c r="J11" s="87"/>
      <c r="K11" s="87"/>
      <c r="L11" s="87"/>
      <c r="M11" s="87">
        <v>100</v>
      </c>
      <c r="N11" s="80"/>
      <c r="O11" s="80"/>
    </row>
    <row r="12" ht="16.5" spans="1:22">
      <c r="A12" s="14">
        <v>9</v>
      </c>
      <c r="B12" s="25">
        <v>45957</v>
      </c>
      <c r="C12" s="29" t="s">
        <v>45</v>
      </c>
      <c r="D12" s="22">
        <v>20</v>
      </c>
      <c r="E12" s="22">
        <v>10</v>
      </c>
      <c r="F12" s="23">
        <f>250-150</f>
        <v>100</v>
      </c>
      <c r="H12" s="28">
        <v>9</v>
      </c>
      <c r="I12" s="77" t="s">
        <v>46</v>
      </c>
      <c r="J12" s="78">
        <v>300</v>
      </c>
      <c r="K12" s="82"/>
      <c r="L12" s="78">
        <v>166.66</v>
      </c>
      <c r="M12" s="78">
        <v>250</v>
      </c>
      <c r="N12" s="80">
        <f>J12-K12+L12-M12</f>
        <v>216.66</v>
      </c>
      <c r="O12" s="82"/>
      <c r="S12" s="55"/>
      <c r="T12" s="55"/>
      <c r="U12" s="55"/>
      <c r="V12" s="55"/>
    </row>
    <row r="13" ht="15.75" spans="1:22">
      <c r="A13" s="14">
        <v>10</v>
      </c>
      <c r="B13" s="18"/>
      <c r="C13" s="29" t="s">
        <v>47</v>
      </c>
      <c r="D13" s="22">
        <v>20</v>
      </c>
      <c r="E13" s="22">
        <v>10</v>
      </c>
      <c r="F13" s="23">
        <f>250-100</f>
        <v>150</v>
      </c>
      <c r="H13" s="24">
        <v>10</v>
      </c>
      <c r="I13" s="85" t="s">
        <v>48</v>
      </c>
      <c r="J13" s="88"/>
      <c r="K13" s="76"/>
      <c r="L13" s="76">
        <f>F19</f>
        <v>50</v>
      </c>
      <c r="M13" s="88"/>
      <c r="N13" s="89"/>
      <c r="O13" s="90"/>
      <c r="S13" s="55"/>
      <c r="T13" s="55"/>
      <c r="U13" s="55"/>
      <c r="V13" s="55"/>
    </row>
    <row r="14" ht="16.5" spans="1:22">
      <c r="A14" s="14">
        <v>11</v>
      </c>
      <c r="B14" s="25">
        <v>45958</v>
      </c>
      <c r="C14" s="20" t="s">
        <v>49</v>
      </c>
      <c r="D14" s="22" t="s">
        <v>50</v>
      </c>
      <c r="E14" s="22" t="s">
        <v>23</v>
      </c>
      <c r="F14" s="23">
        <f>(F5/F6)*F13</f>
        <v>30.0072002880115</v>
      </c>
      <c r="H14" s="24">
        <v>11</v>
      </c>
      <c r="I14" s="85" t="s">
        <v>51</v>
      </c>
      <c r="J14" s="91"/>
      <c r="K14" s="23"/>
      <c r="L14" s="23"/>
      <c r="M14" s="23">
        <f>F21</f>
        <v>50</v>
      </c>
      <c r="N14" s="84"/>
      <c r="O14" s="80"/>
      <c r="S14" s="55"/>
      <c r="T14" s="55"/>
      <c r="U14" s="55"/>
      <c r="V14" s="55"/>
    </row>
    <row r="15" ht="16.5" spans="1:22">
      <c r="A15" s="14">
        <v>12</v>
      </c>
      <c r="B15" s="18"/>
      <c r="C15" s="20" t="s">
        <v>52</v>
      </c>
      <c r="D15" s="22">
        <v>20</v>
      </c>
      <c r="E15" s="22">
        <v>2</v>
      </c>
      <c r="F15" s="23">
        <f>R5</f>
        <v>30</v>
      </c>
      <c r="H15" s="24">
        <v>12</v>
      </c>
      <c r="I15" s="77" t="s">
        <v>53</v>
      </c>
      <c r="J15" s="91"/>
      <c r="K15" s="23"/>
      <c r="L15" s="91">
        <f>SUM(L13:L14)</f>
        <v>50</v>
      </c>
      <c r="M15" s="91">
        <f>SUM(M13:M14)</f>
        <v>50</v>
      </c>
      <c r="N15" s="84">
        <f>J15-K15+L15-M15</f>
        <v>0</v>
      </c>
      <c r="O15" s="80"/>
      <c r="S15" s="55"/>
      <c r="T15" s="55"/>
      <c r="U15" s="55"/>
      <c r="V15" s="55"/>
    </row>
    <row r="16" ht="15.75" spans="1:22">
      <c r="A16" s="14">
        <v>13</v>
      </c>
      <c r="B16" s="25">
        <v>45959</v>
      </c>
      <c r="C16" s="20" t="s">
        <v>54</v>
      </c>
      <c r="D16" s="22">
        <v>20</v>
      </c>
      <c r="E16" s="22">
        <v>70</v>
      </c>
      <c r="F16" s="23">
        <v>320</v>
      </c>
      <c r="H16" s="24">
        <v>13</v>
      </c>
      <c r="I16" s="85" t="s">
        <v>23</v>
      </c>
      <c r="J16" s="91"/>
      <c r="K16" s="23"/>
      <c r="L16" s="23">
        <f>F5</f>
        <v>33.34</v>
      </c>
      <c r="M16" s="91"/>
      <c r="N16" s="84"/>
      <c r="O16" s="80"/>
      <c r="S16" s="55"/>
      <c r="T16" s="55"/>
      <c r="U16" s="55"/>
      <c r="V16" s="55"/>
    </row>
    <row r="17" ht="15.75" spans="1:22">
      <c r="A17" s="14">
        <v>14</v>
      </c>
      <c r="B17" s="27"/>
      <c r="C17" s="20" t="s">
        <v>55</v>
      </c>
      <c r="D17" s="22">
        <v>20</v>
      </c>
      <c r="E17" s="22">
        <v>69</v>
      </c>
      <c r="F17" s="23">
        <f>SUM(30.2%*F16)</f>
        <v>96.64</v>
      </c>
      <c r="H17" s="24">
        <v>14</v>
      </c>
      <c r="I17" s="85" t="s">
        <v>23</v>
      </c>
      <c r="J17" s="91"/>
      <c r="K17" s="23"/>
      <c r="L17" s="23">
        <f>F8</f>
        <v>13.336</v>
      </c>
      <c r="M17" s="91"/>
      <c r="N17" s="84"/>
      <c r="O17" s="80"/>
      <c r="S17" s="55"/>
      <c r="T17" s="55"/>
      <c r="U17" s="55"/>
      <c r="V17" s="55"/>
    </row>
    <row r="18" ht="15.75" spans="1:22">
      <c r="A18" s="14">
        <v>15</v>
      </c>
      <c r="B18" s="18"/>
      <c r="C18" s="20" t="s">
        <v>56</v>
      </c>
      <c r="D18" s="22">
        <v>70</v>
      </c>
      <c r="E18" s="22" t="s">
        <v>57</v>
      </c>
      <c r="F18" s="23">
        <f>13%*(F16-(1.4*3)-(2.8*3)-(6*3))</f>
        <v>37.622</v>
      </c>
      <c r="H18" s="24">
        <v>15</v>
      </c>
      <c r="I18" s="85" t="s">
        <v>23</v>
      </c>
      <c r="J18" s="91"/>
      <c r="K18" s="23"/>
      <c r="L18" s="23"/>
      <c r="M18" s="23">
        <f>F14</f>
        <v>30.0072002880115</v>
      </c>
      <c r="N18" s="84"/>
      <c r="O18" s="80"/>
      <c r="S18" s="55"/>
      <c r="T18" s="55"/>
      <c r="U18" s="55"/>
      <c r="V18" s="55"/>
    </row>
    <row r="19" ht="15.75" spans="1:22">
      <c r="A19" s="14">
        <v>16</v>
      </c>
      <c r="B19" s="25">
        <v>45962</v>
      </c>
      <c r="C19" s="20" t="s">
        <v>58</v>
      </c>
      <c r="D19" s="22">
        <v>15</v>
      </c>
      <c r="E19" s="22">
        <v>60</v>
      </c>
      <c r="F19" s="23">
        <v>50</v>
      </c>
      <c r="H19" s="24">
        <v>16</v>
      </c>
      <c r="I19" s="85" t="s">
        <v>23</v>
      </c>
      <c r="J19" s="91"/>
      <c r="K19" s="23"/>
      <c r="L19" s="23"/>
      <c r="M19" s="23">
        <f>F30</f>
        <v>13.336</v>
      </c>
      <c r="N19" s="84"/>
      <c r="O19" s="80"/>
      <c r="S19" s="55"/>
      <c r="T19" s="55"/>
      <c r="U19" s="55"/>
      <c r="V19" s="55"/>
    </row>
    <row r="20" ht="15.75" spans="1:22">
      <c r="A20" s="14">
        <v>17</v>
      </c>
      <c r="B20" s="27"/>
      <c r="C20" s="30" t="s">
        <v>59</v>
      </c>
      <c r="D20" s="22" t="s">
        <v>60</v>
      </c>
      <c r="E20" s="22">
        <v>60</v>
      </c>
      <c r="F20" s="23">
        <f>20%*F19</f>
        <v>10</v>
      </c>
      <c r="H20" s="24">
        <v>17</v>
      </c>
      <c r="I20" s="85" t="s">
        <v>60</v>
      </c>
      <c r="J20" s="91"/>
      <c r="K20" s="23"/>
      <c r="L20" s="23">
        <f>F20</f>
        <v>10</v>
      </c>
      <c r="M20" s="91"/>
      <c r="N20" s="84"/>
      <c r="O20" s="80"/>
      <c r="S20" s="55"/>
      <c r="T20" s="55"/>
      <c r="U20" s="55"/>
      <c r="V20" s="55"/>
    </row>
    <row r="21" ht="16.5" spans="1:15">
      <c r="A21" s="14">
        <v>18</v>
      </c>
      <c r="B21" s="27"/>
      <c r="C21" s="20" t="s">
        <v>61</v>
      </c>
      <c r="D21" s="22">
        <v>26</v>
      </c>
      <c r="E21" s="22">
        <v>15</v>
      </c>
      <c r="F21" s="23">
        <f t="shared" ref="F21:F26" si="0">F19</f>
        <v>50</v>
      </c>
      <c r="H21" s="24">
        <v>18</v>
      </c>
      <c r="I21" s="85" t="s">
        <v>60</v>
      </c>
      <c r="J21" s="85"/>
      <c r="K21" s="23"/>
      <c r="L21" s="23"/>
      <c r="M21" s="23">
        <f>F22</f>
        <v>10</v>
      </c>
      <c r="N21" s="84"/>
      <c r="O21" s="80"/>
    </row>
    <row r="22" ht="16.5" spans="1:15">
      <c r="A22" s="14">
        <v>19</v>
      </c>
      <c r="B22" s="27"/>
      <c r="C22" s="20" t="s">
        <v>62</v>
      </c>
      <c r="D22" s="22" t="s">
        <v>50</v>
      </c>
      <c r="E22" s="22" t="s">
        <v>60</v>
      </c>
      <c r="F22" s="23">
        <f t="shared" si="0"/>
        <v>10</v>
      </c>
      <c r="H22" s="24">
        <v>19</v>
      </c>
      <c r="I22" s="77" t="s">
        <v>63</v>
      </c>
      <c r="J22" s="91"/>
      <c r="K22" s="23"/>
      <c r="L22" s="91">
        <f>SUM(L16:L21)</f>
        <v>56.676</v>
      </c>
      <c r="M22" s="91">
        <f>SUM(M16:M21)</f>
        <v>53.3432002880115</v>
      </c>
      <c r="N22" s="84">
        <f>J22-K22+L22-M22</f>
        <v>3.33279971198847</v>
      </c>
      <c r="O22" s="80"/>
    </row>
    <row r="23" ht="15.75" spans="1:15">
      <c r="A23" s="14">
        <v>20</v>
      </c>
      <c r="B23" s="18"/>
      <c r="C23" s="20" t="s">
        <v>64</v>
      </c>
      <c r="D23" s="22">
        <v>60</v>
      </c>
      <c r="E23" s="22">
        <v>51</v>
      </c>
      <c r="F23" s="23">
        <f>F20+F19</f>
        <v>60</v>
      </c>
      <c r="H23" s="24">
        <v>20</v>
      </c>
      <c r="I23" s="22" t="s">
        <v>65</v>
      </c>
      <c r="J23" s="91"/>
      <c r="K23" s="23"/>
      <c r="L23" s="23">
        <f>F12</f>
        <v>100</v>
      </c>
      <c r="M23" s="91"/>
      <c r="N23" s="84"/>
      <c r="O23" s="80"/>
    </row>
    <row r="24" ht="15.75" spans="1:15">
      <c r="A24" s="31">
        <v>21</v>
      </c>
      <c r="B24" s="32">
        <v>46011</v>
      </c>
      <c r="C24" s="20" t="s">
        <v>66</v>
      </c>
      <c r="D24" s="22">
        <v>62</v>
      </c>
      <c r="E24" s="22" t="s">
        <v>67</v>
      </c>
      <c r="F24" s="23">
        <v>900</v>
      </c>
      <c r="H24" s="24">
        <v>21</v>
      </c>
      <c r="I24" s="22" t="s">
        <v>65</v>
      </c>
      <c r="J24" s="91"/>
      <c r="K24" s="23"/>
      <c r="L24" s="23">
        <f>F13</f>
        <v>150</v>
      </c>
      <c r="M24" s="91"/>
      <c r="N24" s="84"/>
      <c r="O24" s="80"/>
    </row>
    <row r="25" ht="15.75" spans="1:15">
      <c r="A25" s="14">
        <v>22</v>
      </c>
      <c r="B25" s="33"/>
      <c r="C25" s="20" t="s">
        <v>68</v>
      </c>
      <c r="D25" s="22" t="s">
        <v>69</v>
      </c>
      <c r="E25" s="22" t="s">
        <v>50</v>
      </c>
      <c r="F25" s="23">
        <f>F24*20/120</f>
        <v>150</v>
      </c>
      <c r="H25" s="24">
        <v>22</v>
      </c>
      <c r="I25" s="22" t="s">
        <v>70</v>
      </c>
      <c r="J25" s="91"/>
      <c r="K25" s="23"/>
      <c r="L25" s="23">
        <f t="shared" ref="L25:L27" si="1">F15</f>
        <v>30</v>
      </c>
      <c r="M25" s="91"/>
      <c r="N25" s="84"/>
      <c r="O25" s="80"/>
    </row>
    <row r="26" ht="15.75" spans="1:15">
      <c r="A26" s="14">
        <v>23</v>
      </c>
      <c r="B26" s="34"/>
      <c r="C26" s="35" t="s">
        <v>71</v>
      </c>
      <c r="D26" s="22">
        <v>51</v>
      </c>
      <c r="E26" s="22">
        <v>62</v>
      </c>
      <c r="F26" s="23">
        <f t="shared" si="0"/>
        <v>900</v>
      </c>
      <c r="H26" s="24">
        <v>23</v>
      </c>
      <c r="I26" s="22" t="s">
        <v>72</v>
      </c>
      <c r="J26" s="91"/>
      <c r="K26" s="23"/>
      <c r="L26" s="23">
        <f t="shared" si="1"/>
        <v>320</v>
      </c>
      <c r="M26" s="91"/>
      <c r="N26" s="84"/>
      <c r="O26" s="80"/>
    </row>
    <row r="27" ht="15.75" spans="1:15">
      <c r="A27" s="14">
        <v>24</v>
      </c>
      <c r="B27" s="19">
        <v>46012</v>
      </c>
      <c r="C27" s="36" t="s">
        <v>73</v>
      </c>
      <c r="D27" s="22">
        <v>62</v>
      </c>
      <c r="E27" s="22" t="s">
        <v>74</v>
      </c>
      <c r="F27" s="23">
        <f>140</f>
        <v>140</v>
      </c>
      <c r="H27" s="24">
        <v>24</v>
      </c>
      <c r="I27" s="22" t="s">
        <v>75</v>
      </c>
      <c r="J27" s="91"/>
      <c r="K27" s="23"/>
      <c r="L27" s="23">
        <f t="shared" si="1"/>
        <v>96.64</v>
      </c>
      <c r="M27" s="91"/>
      <c r="N27" s="84">
        <v>0</v>
      </c>
      <c r="O27" s="80"/>
    </row>
    <row r="28" ht="15.75" spans="1:15">
      <c r="A28" s="31">
        <v>25</v>
      </c>
      <c r="B28" s="25">
        <v>46013</v>
      </c>
      <c r="C28" s="37" t="s">
        <v>76</v>
      </c>
      <c r="D28" s="38" t="s">
        <v>77</v>
      </c>
      <c r="E28" s="38" t="s">
        <v>50</v>
      </c>
      <c r="F28" s="39">
        <f>F27*20/120</f>
        <v>23.3333333333333</v>
      </c>
      <c r="H28" s="24">
        <v>25</v>
      </c>
      <c r="I28" s="92" t="s">
        <v>78</v>
      </c>
      <c r="J28" s="91"/>
      <c r="K28" s="23"/>
      <c r="L28" s="91">
        <f>SUM(L23:L27)</f>
        <v>696.64</v>
      </c>
      <c r="M28" s="91">
        <v>0</v>
      </c>
      <c r="N28" s="84">
        <f>L28-M28</f>
        <v>696.64</v>
      </c>
      <c r="O28" s="80"/>
    </row>
    <row r="29" ht="15.75" spans="1:15">
      <c r="A29" s="40">
        <v>26</v>
      </c>
      <c r="B29" s="41">
        <v>46015</v>
      </c>
      <c r="C29" s="42" t="s">
        <v>79</v>
      </c>
      <c r="D29" s="43" t="s">
        <v>80</v>
      </c>
      <c r="E29" s="43">
        <v>41</v>
      </c>
      <c r="F29" s="44">
        <f>F9</f>
        <v>66.664</v>
      </c>
      <c r="H29" s="24">
        <v>26</v>
      </c>
      <c r="I29" s="92" t="s">
        <v>81</v>
      </c>
      <c r="J29" s="91"/>
      <c r="K29" s="23"/>
      <c r="L29" s="91">
        <f>F21</f>
        <v>50</v>
      </c>
      <c r="M29" s="91"/>
      <c r="N29" s="84">
        <f t="shared" ref="N28:N31" si="2">J29-K29+L29-M29</f>
        <v>50</v>
      </c>
      <c r="O29" s="80"/>
    </row>
    <row r="30" ht="15.75" spans="1:15">
      <c r="A30" s="40">
        <v>27</v>
      </c>
      <c r="B30" s="45"/>
      <c r="C30" s="42" t="s">
        <v>82</v>
      </c>
      <c r="D30" s="43" t="s">
        <v>50</v>
      </c>
      <c r="E30" s="43" t="s">
        <v>23</v>
      </c>
      <c r="F30" s="44">
        <f>F8</f>
        <v>13.336</v>
      </c>
      <c r="H30" s="24">
        <v>27</v>
      </c>
      <c r="I30" s="22" t="s">
        <v>83</v>
      </c>
      <c r="J30" s="91"/>
      <c r="K30" s="23"/>
      <c r="L30" s="23">
        <f>F9</f>
        <v>66.664</v>
      </c>
      <c r="M30" s="91"/>
      <c r="N30" s="84"/>
      <c r="O30" s="80"/>
    </row>
    <row r="31" ht="15.75" spans="1:15">
      <c r="A31" s="40">
        <v>28</v>
      </c>
      <c r="B31" s="45"/>
      <c r="C31" s="42" t="s">
        <v>84</v>
      </c>
      <c r="D31" s="43">
        <v>51</v>
      </c>
      <c r="E31" s="43">
        <v>62</v>
      </c>
      <c r="F31" s="44">
        <f>F27</f>
        <v>140</v>
      </c>
      <c r="H31" s="24">
        <v>28</v>
      </c>
      <c r="I31" s="92" t="s">
        <v>85</v>
      </c>
      <c r="J31" s="39"/>
      <c r="K31" s="39"/>
      <c r="L31" s="93">
        <f>L30</f>
        <v>66.664</v>
      </c>
      <c r="M31" s="93">
        <f>F29</f>
        <v>66.664</v>
      </c>
      <c r="N31" s="86">
        <f t="shared" si="2"/>
        <v>0</v>
      </c>
      <c r="O31" s="80"/>
    </row>
    <row r="32" ht="15.75" spans="1:15">
      <c r="A32" s="40">
        <v>29</v>
      </c>
      <c r="B32" s="45"/>
      <c r="C32" s="42" t="s">
        <v>86</v>
      </c>
      <c r="D32" s="43" t="s">
        <v>87</v>
      </c>
      <c r="E32" s="43" t="s">
        <v>18</v>
      </c>
      <c r="F32" s="46">
        <f>F17</f>
        <v>96.64</v>
      </c>
      <c r="H32" s="24">
        <v>29</v>
      </c>
      <c r="I32" s="22" t="s">
        <v>88</v>
      </c>
      <c r="J32" s="24">
        <f>R8</f>
        <v>120</v>
      </c>
      <c r="K32" s="24"/>
      <c r="L32" s="73"/>
      <c r="M32" s="94"/>
      <c r="N32" s="73"/>
      <c r="O32" s="80"/>
    </row>
    <row r="33" ht="15.75" spans="1:15">
      <c r="A33" s="40">
        <v>30</v>
      </c>
      <c r="B33" s="45"/>
      <c r="C33" s="42" t="s">
        <v>89</v>
      </c>
      <c r="D33" s="43" t="s">
        <v>41</v>
      </c>
      <c r="E33" s="43" t="s">
        <v>18</v>
      </c>
      <c r="F33" s="46">
        <f>F18</f>
        <v>37.622</v>
      </c>
      <c r="H33" s="24">
        <v>30</v>
      </c>
      <c r="I33" s="95" t="s">
        <v>90</v>
      </c>
      <c r="J33" s="80"/>
      <c r="K33" s="80"/>
      <c r="L33" s="80"/>
      <c r="M33" s="87">
        <f>F7</f>
        <v>80</v>
      </c>
      <c r="N33" s="75"/>
      <c r="O33" s="80"/>
    </row>
    <row r="34" ht="15.75" spans="1:15">
      <c r="A34" s="47">
        <v>31</v>
      </c>
      <c r="B34" s="48"/>
      <c r="C34" s="49" t="s">
        <v>91</v>
      </c>
      <c r="D34" s="50" t="s">
        <v>92</v>
      </c>
      <c r="E34" s="50" t="s">
        <v>18</v>
      </c>
      <c r="F34" s="51">
        <f>F16-F18</f>
        <v>282.378</v>
      </c>
      <c r="H34" s="24">
        <v>31</v>
      </c>
      <c r="I34" s="96" t="s">
        <v>93</v>
      </c>
      <c r="J34" s="88">
        <f>SUM(J32:J33)</f>
        <v>120</v>
      </c>
      <c r="K34" s="88"/>
      <c r="L34" s="88"/>
      <c r="M34" s="88">
        <f>SUM(M32:M33)</f>
        <v>80</v>
      </c>
      <c r="N34" s="89">
        <f>J34-K34+L34-M34</f>
        <v>40</v>
      </c>
      <c r="O34" s="80"/>
    </row>
    <row r="35" ht="15.75" spans="1:15">
      <c r="A35" s="52">
        <v>32</v>
      </c>
      <c r="B35" s="53">
        <v>46022</v>
      </c>
      <c r="C35" s="52" t="s">
        <v>94</v>
      </c>
      <c r="D35" s="52" t="s">
        <v>95</v>
      </c>
      <c r="E35" s="52" t="s">
        <v>96</v>
      </c>
      <c r="F35" s="54">
        <f>N87</f>
        <v>37.3869375</v>
      </c>
      <c r="H35" s="24">
        <v>32</v>
      </c>
      <c r="I35" s="95" t="s">
        <v>18</v>
      </c>
      <c r="J35" s="76">
        <f>R9</f>
        <v>400</v>
      </c>
      <c r="K35" s="76"/>
      <c r="L35" s="76"/>
      <c r="M35" s="76"/>
      <c r="N35" s="97">
        <f>J35</f>
        <v>400</v>
      </c>
      <c r="O35" s="80"/>
    </row>
    <row r="36" ht="15.75" spans="1:15">
      <c r="A36" s="55"/>
      <c r="B36" s="56"/>
      <c r="C36" s="55"/>
      <c r="D36" s="55"/>
      <c r="E36" s="55"/>
      <c r="F36" s="55"/>
      <c r="H36" s="24">
        <v>33</v>
      </c>
      <c r="I36" s="22" t="s">
        <v>97</v>
      </c>
      <c r="J36" s="91"/>
      <c r="K36" s="23"/>
      <c r="L36" s="23"/>
      <c r="M36" s="23">
        <f>F4</f>
        <v>200</v>
      </c>
      <c r="N36" s="84"/>
      <c r="O36" s="80"/>
    </row>
    <row r="37" ht="15.75" spans="1:15">
      <c r="A37" s="55"/>
      <c r="B37" s="56"/>
      <c r="C37" s="55"/>
      <c r="D37" s="55"/>
      <c r="E37" s="55"/>
      <c r="F37" s="55"/>
      <c r="H37" s="24">
        <v>34</v>
      </c>
      <c r="I37" s="22" t="s">
        <v>98</v>
      </c>
      <c r="J37" s="91"/>
      <c r="K37" s="23"/>
      <c r="L37" s="23"/>
      <c r="M37" s="23">
        <f>F11</f>
        <v>3.47875</v>
      </c>
      <c r="N37" s="84"/>
      <c r="O37" s="80"/>
    </row>
    <row r="38" ht="15.75" spans="1:15">
      <c r="A38" s="55"/>
      <c r="B38" s="56"/>
      <c r="C38" s="55"/>
      <c r="D38" s="55"/>
      <c r="E38" s="55"/>
      <c r="F38" s="55"/>
      <c r="H38" s="24">
        <v>35</v>
      </c>
      <c r="I38" s="22" t="s">
        <v>99</v>
      </c>
      <c r="J38" s="91"/>
      <c r="K38" s="23"/>
      <c r="L38" s="23"/>
      <c r="M38" s="23">
        <f>F23</f>
        <v>60</v>
      </c>
      <c r="N38" s="84"/>
      <c r="O38" s="80"/>
    </row>
    <row r="39" ht="15.75" spans="1:15">
      <c r="A39" s="55"/>
      <c r="B39" s="56"/>
      <c r="C39" s="55"/>
      <c r="D39" s="57"/>
      <c r="E39" s="55"/>
      <c r="F39" s="55"/>
      <c r="H39" s="24">
        <v>36</v>
      </c>
      <c r="I39" s="22" t="s">
        <v>100</v>
      </c>
      <c r="J39" s="91"/>
      <c r="K39" s="23"/>
      <c r="L39" s="23">
        <f>F26</f>
        <v>900</v>
      </c>
      <c r="M39" s="23"/>
      <c r="N39" s="84"/>
      <c r="O39" s="80"/>
    </row>
    <row r="40" ht="15.75" spans="1:15">
      <c r="A40" s="55"/>
      <c r="B40" s="56"/>
      <c r="C40" s="55"/>
      <c r="D40" s="55"/>
      <c r="E40" s="55"/>
      <c r="F40" s="55"/>
      <c r="H40" s="24">
        <v>37</v>
      </c>
      <c r="I40" s="22" t="s">
        <v>100</v>
      </c>
      <c r="J40" s="91"/>
      <c r="K40" s="23"/>
      <c r="L40" s="23">
        <f>F31</f>
        <v>140</v>
      </c>
      <c r="M40" s="23"/>
      <c r="N40" s="84"/>
      <c r="O40" s="80"/>
    </row>
    <row r="41" ht="15.75" spans="1:15">
      <c r="A41" s="58"/>
      <c r="B41" s="56"/>
      <c r="C41" s="55"/>
      <c r="D41" s="55"/>
      <c r="E41" s="55"/>
      <c r="F41" s="55"/>
      <c r="H41" s="24">
        <v>38</v>
      </c>
      <c r="I41" s="98" t="s">
        <v>101</v>
      </c>
      <c r="J41" s="91"/>
      <c r="K41" s="23"/>
      <c r="L41" s="23"/>
      <c r="M41" s="23">
        <f t="shared" ref="M41:M43" si="3">F32</f>
        <v>96.64</v>
      </c>
      <c r="N41" s="84"/>
      <c r="O41" s="80"/>
    </row>
    <row r="42" ht="15.75" spans="1:15">
      <c r="A42" s="58"/>
      <c r="B42" s="56"/>
      <c r="C42" s="55"/>
      <c r="D42" s="55"/>
      <c r="E42" s="55"/>
      <c r="F42" s="55"/>
      <c r="H42" s="24">
        <v>39</v>
      </c>
      <c r="I42" s="98" t="s">
        <v>102</v>
      </c>
      <c r="J42" s="91"/>
      <c r="K42" s="23"/>
      <c r="L42" s="23"/>
      <c r="M42" s="23">
        <f t="shared" si="3"/>
        <v>37.622</v>
      </c>
      <c r="N42" s="84"/>
      <c r="O42" s="80"/>
    </row>
    <row r="43" ht="15.75" spans="1:15">
      <c r="A43" s="58"/>
      <c r="B43" s="56"/>
      <c r="C43" s="55"/>
      <c r="D43" s="55"/>
      <c r="E43" s="55"/>
      <c r="F43" s="55"/>
      <c r="H43" s="24">
        <v>40</v>
      </c>
      <c r="I43" s="98" t="s">
        <v>103</v>
      </c>
      <c r="J43" s="91"/>
      <c r="K43" s="23"/>
      <c r="L43" s="23"/>
      <c r="M43" s="23">
        <f t="shared" si="3"/>
        <v>282.378</v>
      </c>
      <c r="N43" s="84"/>
      <c r="O43" s="80"/>
    </row>
    <row r="44" ht="15.75" spans="1:15">
      <c r="A44" s="58"/>
      <c r="B44" s="56"/>
      <c r="C44" s="55"/>
      <c r="D44" s="55"/>
      <c r="E44" s="55"/>
      <c r="F44" s="55"/>
      <c r="H44" s="24">
        <v>41</v>
      </c>
      <c r="I44" s="92" t="s">
        <v>104</v>
      </c>
      <c r="J44" s="91">
        <f t="shared" ref="J44:M44" si="4">SUM(J35:J43)</f>
        <v>400</v>
      </c>
      <c r="K44" s="91">
        <f t="shared" si="4"/>
        <v>0</v>
      </c>
      <c r="L44" s="91">
        <f t="shared" si="4"/>
        <v>1040</v>
      </c>
      <c r="M44" s="91">
        <f t="shared" si="4"/>
        <v>680.11875</v>
      </c>
      <c r="N44" s="84">
        <f>J44-K44+L44-M44</f>
        <v>759.88125</v>
      </c>
      <c r="O44" s="80"/>
    </row>
    <row r="45" ht="15.75" spans="1:15">
      <c r="A45" s="58"/>
      <c r="B45" s="56"/>
      <c r="C45" s="55"/>
      <c r="D45" s="55"/>
      <c r="E45" s="55"/>
      <c r="F45" s="55"/>
      <c r="H45" s="24">
        <v>42</v>
      </c>
      <c r="I45" s="98" t="s">
        <v>105</v>
      </c>
      <c r="J45" s="91"/>
      <c r="K45" s="23"/>
      <c r="L45" s="23">
        <f>F4</f>
        <v>200</v>
      </c>
      <c r="M45" s="23"/>
      <c r="N45" s="84"/>
      <c r="O45" s="80"/>
    </row>
    <row r="46" customHeight="1" spans="1:15">
      <c r="A46" s="58"/>
      <c r="B46" s="56"/>
      <c r="C46" s="55"/>
      <c r="D46" s="55"/>
      <c r="E46" s="55"/>
      <c r="F46" s="55"/>
      <c r="H46" s="24">
        <v>43</v>
      </c>
      <c r="I46" s="98" t="s">
        <v>106</v>
      </c>
      <c r="J46" s="91"/>
      <c r="K46" s="23"/>
      <c r="L46" s="99"/>
      <c r="M46" s="23">
        <f t="shared" ref="M46:M50" si="5">F5</f>
        <v>33.34</v>
      </c>
      <c r="N46" s="84"/>
      <c r="O46" s="80"/>
    </row>
    <row r="47" customHeight="1" spans="1:15">
      <c r="A47" s="58"/>
      <c r="B47" s="56"/>
      <c r="C47" s="55"/>
      <c r="D47" s="55"/>
      <c r="E47" s="55"/>
      <c r="F47" s="55"/>
      <c r="H47" s="24">
        <v>44</v>
      </c>
      <c r="I47" s="98" t="s">
        <v>107</v>
      </c>
      <c r="J47" s="91"/>
      <c r="K47" s="23"/>
      <c r="L47" s="23"/>
      <c r="M47" s="23">
        <f t="shared" si="5"/>
        <v>166.66</v>
      </c>
      <c r="N47" s="84"/>
      <c r="O47" s="80"/>
    </row>
    <row r="48" ht="15.75" spans="1:15">
      <c r="A48" s="58"/>
      <c r="B48" s="56"/>
      <c r="C48" s="55"/>
      <c r="D48" s="55"/>
      <c r="E48" s="55"/>
      <c r="F48" s="55"/>
      <c r="H48" s="24">
        <v>45</v>
      </c>
      <c r="I48" s="98" t="s">
        <v>108</v>
      </c>
      <c r="J48" s="91"/>
      <c r="K48" s="23"/>
      <c r="L48" s="23">
        <f>F7</f>
        <v>80</v>
      </c>
      <c r="M48" s="23"/>
      <c r="N48" s="84"/>
      <c r="O48" s="80"/>
    </row>
    <row r="49" ht="15.75" spans="1:15">
      <c r="A49" s="58"/>
      <c r="B49" s="56"/>
      <c r="C49" s="55"/>
      <c r="D49" s="59"/>
      <c r="E49" s="55"/>
      <c r="F49" s="55"/>
      <c r="H49" s="24">
        <v>46</v>
      </c>
      <c r="I49" s="98" t="s">
        <v>106</v>
      </c>
      <c r="J49" s="91"/>
      <c r="K49" s="23"/>
      <c r="L49" s="23"/>
      <c r="M49" s="23">
        <f t="shared" si="5"/>
        <v>13.336</v>
      </c>
      <c r="N49" s="84"/>
      <c r="O49" s="80"/>
    </row>
    <row r="50" ht="15.75" spans="8:15">
      <c r="H50" s="24">
        <v>47</v>
      </c>
      <c r="I50" s="98" t="s">
        <v>109</v>
      </c>
      <c r="J50" s="91"/>
      <c r="K50" s="23"/>
      <c r="L50" s="23"/>
      <c r="M50" s="23">
        <f t="shared" si="5"/>
        <v>66.664</v>
      </c>
      <c r="N50" s="84"/>
      <c r="O50" s="80"/>
    </row>
    <row r="51" ht="15.75" spans="8:15">
      <c r="H51" s="24">
        <v>48</v>
      </c>
      <c r="I51" s="98" t="s">
        <v>110</v>
      </c>
      <c r="J51" s="91"/>
      <c r="K51" s="23"/>
      <c r="L51" s="23"/>
      <c r="M51" s="23">
        <f>F19</f>
        <v>50</v>
      </c>
      <c r="N51" s="84"/>
      <c r="O51" s="80"/>
    </row>
    <row r="52" ht="15.75" spans="3:15">
      <c r="C52" s="55"/>
      <c r="D52" s="55"/>
      <c r="E52" s="55"/>
      <c r="H52" s="24">
        <v>49</v>
      </c>
      <c r="I52" s="98" t="s">
        <v>111</v>
      </c>
      <c r="J52" s="91"/>
      <c r="K52" s="23"/>
      <c r="L52" s="23"/>
      <c r="M52" s="23">
        <f>F20</f>
        <v>10</v>
      </c>
      <c r="N52" s="84"/>
      <c r="O52" s="80"/>
    </row>
    <row r="53" ht="15.75" spans="3:15">
      <c r="C53" s="60"/>
      <c r="D53" s="60"/>
      <c r="E53" s="60"/>
      <c r="H53" s="24">
        <v>50</v>
      </c>
      <c r="I53" s="98" t="s">
        <v>105</v>
      </c>
      <c r="J53" s="91"/>
      <c r="K53" s="23"/>
      <c r="L53" s="23">
        <f>F23</f>
        <v>60</v>
      </c>
      <c r="M53" s="23"/>
      <c r="N53" s="84"/>
      <c r="O53" s="80"/>
    </row>
    <row r="54" ht="15.75" spans="3:15">
      <c r="C54" s="60"/>
      <c r="D54" s="60"/>
      <c r="E54" s="60"/>
      <c r="H54" s="24">
        <v>51</v>
      </c>
      <c r="I54" s="100" t="s">
        <v>112</v>
      </c>
      <c r="J54" s="91"/>
      <c r="K54" s="23"/>
      <c r="L54" s="91">
        <f>SUM(L45:L53)</f>
        <v>340</v>
      </c>
      <c r="M54" s="91">
        <f>SUM(M45:M53)</f>
        <v>340</v>
      </c>
      <c r="N54" s="84">
        <f>L54-M54</f>
        <v>0</v>
      </c>
      <c r="O54" s="80"/>
    </row>
    <row r="55" ht="15.75" spans="3:15">
      <c r="C55" s="60"/>
      <c r="D55" s="60"/>
      <c r="E55" s="60"/>
      <c r="H55" s="24">
        <v>52</v>
      </c>
      <c r="I55" s="98" t="s">
        <v>113</v>
      </c>
      <c r="J55" s="91"/>
      <c r="K55" s="23"/>
      <c r="L55" s="23">
        <f>F24</f>
        <v>900</v>
      </c>
      <c r="M55" s="23"/>
      <c r="N55" s="84"/>
      <c r="O55" s="80"/>
    </row>
    <row r="56" ht="15.75" spans="5:15">
      <c r="E56" s="60"/>
      <c r="H56" s="24">
        <v>53</v>
      </c>
      <c r="I56" s="98" t="s">
        <v>114</v>
      </c>
      <c r="J56" s="91"/>
      <c r="K56" s="23"/>
      <c r="L56" s="23"/>
      <c r="M56" s="23">
        <f>F26</f>
        <v>900</v>
      </c>
      <c r="N56" s="84"/>
      <c r="O56" s="80"/>
    </row>
    <row r="57" ht="15.75" spans="5:15">
      <c r="E57" s="60"/>
      <c r="H57" s="24">
        <v>54</v>
      </c>
      <c r="I57" s="98" t="s">
        <v>115</v>
      </c>
      <c r="J57" s="91"/>
      <c r="K57" s="23"/>
      <c r="L57" s="23">
        <f>F27</f>
        <v>140</v>
      </c>
      <c r="M57" s="23"/>
      <c r="N57" s="84"/>
      <c r="O57" s="80"/>
    </row>
    <row r="58" ht="15.75" spans="5:15">
      <c r="E58" s="60"/>
      <c r="H58" s="24">
        <v>55</v>
      </c>
      <c r="I58" s="98" t="s">
        <v>114</v>
      </c>
      <c r="J58" s="91"/>
      <c r="K58" s="23"/>
      <c r="L58" s="23"/>
      <c r="M58" s="23">
        <f>F31</f>
        <v>140</v>
      </c>
      <c r="N58" s="84"/>
      <c r="O58" s="80"/>
    </row>
    <row r="59" ht="15.75" spans="5:15">
      <c r="E59" s="60"/>
      <c r="H59" s="24">
        <v>56</v>
      </c>
      <c r="I59" s="100" t="s">
        <v>116</v>
      </c>
      <c r="J59" s="91"/>
      <c r="K59" s="23"/>
      <c r="L59" s="91">
        <f>SUM(L55:L58)</f>
        <v>1040</v>
      </c>
      <c r="M59" s="91">
        <f>SUM(M55:M58)</f>
        <v>1040</v>
      </c>
      <c r="N59" s="23">
        <f>L59-M59</f>
        <v>0</v>
      </c>
      <c r="O59" s="80"/>
    </row>
    <row r="60" ht="15.75" spans="5:15">
      <c r="E60" s="60"/>
      <c r="H60" s="24">
        <v>57</v>
      </c>
      <c r="I60" s="98" t="s">
        <v>117</v>
      </c>
      <c r="J60" s="91"/>
      <c r="K60" s="23"/>
      <c r="L60" s="23"/>
      <c r="M60" s="23">
        <f>F10</f>
        <v>3.47875</v>
      </c>
      <c r="N60" s="84"/>
      <c r="O60" s="80"/>
    </row>
    <row r="61" ht="30" spans="5:15">
      <c r="E61" s="60"/>
      <c r="H61" s="24">
        <v>58</v>
      </c>
      <c r="I61" s="98" t="s">
        <v>118</v>
      </c>
      <c r="J61" s="91"/>
      <c r="K61" s="23"/>
      <c r="L61" s="23">
        <f>F11</f>
        <v>3.47875</v>
      </c>
      <c r="M61" s="23"/>
      <c r="N61" s="84"/>
      <c r="O61" s="80"/>
    </row>
    <row r="62" ht="15.75" spans="5:15">
      <c r="E62" s="60"/>
      <c r="H62" s="24">
        <v>59</v>
      </c>
      <c r="I62" s="98" t="s">
        <v>119</v>
      </c>
      <c r="J62" s="91"/>
      <c r="K62" s="23"/>
      <c r="L62" s="23">
        <f>F14</f>
        <v>30.0072002880115</v>
      </c>
      <c r="M62" s="23"/>
      <c r="N62" s="84"/>
      <c r="O62" s="80"/>
    </row>
    <row r="63" ht="15.75" spans="5:15">
      <c r="E63" s="60"/>
      <c r="H63" s="24">
        <v>60</v>
      </c>
      <c r="I63" s="98" t="s">
        <v>120</v>
      </c>
      <c r="J63" s="91"/>
      <c r="K63" s="23"/>
      <c r="L63" s="23"/>
      <c r="M63" s="23">
        <f>F18</f>
        <v>37.622</v>
      </c>
      <c r="N63" s="84"/>
      <c r="O63" s="80"/>
    </row>
    <row r="64" ht="30" spans="5:15">
      <c r="E64" s="60"/>
      <c r="H64" s="24">
        <v>61</v>
      </c>
      <c r="I64" s="98" t="s">
        <v>121</v>
      </c>
      <c r="J64" s="91"/>
      <c r="K64" s="23"/>
      <c r="L64" s="23">
        <f>F22</f>
        <v>10</v>
      </c>
      <c r="M64" s="23"/>
      <c r="N64" s="84"/>
      <c r="O64" s="80"/>
    </row>
    <row r="65" ht="15.75" spans="8:15">
      <c r="H65" s="24">
        <v>62</v>
      </c>
      <c r="I65" s="98" t="s">
        <v>122</v>
      </c>
      <c r="J65" s="91"/>
      <c r="K65" s="23"/>
      <c r="L65" s="23"/>
      <c r="M65" s="23">
        <f>F25</f>
        <v>150</v>
      </c>
      <c r="N65" s="84"/>
      <c r="O65" s="80"/>
    </row>
    <row r="66" ht="15.75" spans="8:15">
      <c r="H66" s="24">
        <v>63</v>
      </c>
      <c r="I66" s="98" t="s">
        <v>123</v>
      </c>
      <c r="J66" s="91"/>
      <c r="K66" s="23"/>
      <c r="L66" s="23"/>
      <c r="M66" s="23">
        <f>F28</f>
        <v>23.3333333333333</v>
      </c>
      <c r="N66" s="84"/>
      <c r="O66" s="80"/>
    </row>
    <row r="67" ht="30" spans="8:15">
      <c r="H67" s="24">
        <v>64</v>
      </c>
      <c r="I67" s="98" t="s">
        <v>124</v>
      </c>
      <c r="J67" s="91"/>
      <c r="K67" s="23"/>
      <c r="L67" s="23">
        <f>F30</f>
        <v>13.336</v>
      </c>
      <c r="M67" s="23"/>
      <c r="N67" s="84"/>
      <c r="O67" s="80"/>
    </row>
    <row r="68" ht="15.75" spans="8:15">
      <c r="H68" s="24">
        <v>65</v>
      </c>
      <c r="I68" s="98" t="s">
        <v>125</v>
      </c>
      <c r="J68" s="91"/>
      <c r="K68" s="23"/>
      <c r="L68" s="23">
        <f>F33</f>
        <v>37.622</v>
      </c>
      <c r="M68" s="23"/>
      <c r="N68" s="84"/>
      <c r="O68" s="80"/>
    </row>
    <row r="69" ht="15.75" spans="8:15">
      <c r="H69" s="24">
        <v>66</v>
      </c>
      <c r="I69" s="100" t="s">
        <v>126</v>
      </c>
      <c r="J69" s="91"/>
      <c r="K69" s="23"/>
      <c r="L69" s="91">
        <f>SUM(L60:L68)</f>
        <v>94.4439502880115</v>
      </c>
      <c r="M69" s="103">
        <f>SUM(M60:M68)</f>
        <v>214.434083333333</v>
      </c>
      <c r="N69" s="84"/>
      <c r="O69" s="104">
        <f>M69-L69</f>
        <v>119.990133045322</v>
      </c>
    </row>
    <row r="70" ht="15.75" spans="8:15">
      <c r="H70" s="24">
        <v>67</v>
      </c>
      <c r="I70" s="98" t="s">
        <v>127</v>
      </c>
      <c r="J70" s="91"/>
      <c r="K70" s="23"/>
      <c r="L70" s="23"/>
      <c r="M70" s="23">
        <f>F17</f>
        <v>96.64</v>
      </c>
      <c r="N70" s="84"/>
      <c r="O70" s="80"/>
    </row>
    <row r="71" ht="15.75" spans="8:15">
      <c r="H71" s="24">
        <v>68</v>
      </c>
      <c r="I71" s="98" t="s">
        <v>128</v>
      </c>
      <c r="J71" s="91"/>
      <c r="K71" s="23"/>
      <c r="L71" s="23">
        <f>F32</f>
        <v>96.64</v>
      </c>
      <c r="M71" s="23"/>
      <c r="N71" s="84"/>
      <c r="O71" s="80"/>
    </row>
    <row r="72" ht="15.75" spans="8:15">
      <c r="H72" s="24">
        <v>69</v>
      </c>
      <c r="I72" s="100" t="s">
        <v>129</v>
      </c>
      <c r="J72" s="91"/>
      <c r="K72" s="91"/>
      <c r="L72" s="91">
        <f>SUM(L70:L71)</f>
        <v>96.64</v>
      </c>
      <c r="M72" s="91">
        <f>SUM(M70:M71)</f>
        <v>96.64</v>
      </c>
      <c r="N72" s="84">
        <f>L72-M72</f>
        <v>0</v>
      </c>
      <c r="O72" s="80"/>
    </row>
    <row r="73" ht="15.75" spans="8:15">
      <c r="H73" s="24">
        <v>70</v>
      </c>
      <c r="I73" s="98" t="s">
        <v>130</v>
      </c>
      <c r="J73" s="91"/>
      <c r="K73" s="23"/>
      <c r="L73" s="23"/>
      <c r="M73" s="23">
        <f>F16</f>
        <v>320</v>
      </c>
      <c r="N73" s="84"/>
      <c r="O73" s="80"/>
    </row>
    <row r="74" ht="15.75" spans="8:15">
      <c r="H74" s="24">
        <v>71</v>
      </c>
      <c r="I74" s="98" t="s">
        <v>131</v>
      </c>
      <c r="J74" s="91"/>
      <c r="K74" s="23"/>
      <c r="L74" s="23">
        <f>F18</f>
        <v>37.622</v>
      </c>
      <c r="M74" s="23"/>
      <c r="N74" s="84"/>
      <c r="O74" s="80"/>
    </row>
    <row r="75" ht="15.75" spans="8:15">
      <c r="H75" s="24">
        <v>72</v>
      </c>
      <c r="I75" s="98" t="s">
        <v>132</v>
      </c>
      <c r="J75" s="91"/>
      <c r="K75" s="23"/>
      <c r="L75" s="23">
        <f>F34</f>
        <v>282.378</v>
      </c>
      <c r="M75" s="23"/>
      <c r="N75" s="84"/>
      <c r="O75" s="80"/>
    </row>
    <row r="76" ht="15.75" spans="8:18">
      <c r="H76" s="24">
        <v>73</v>
      </c>
      <c r="I76" s="100" t="s">
        <v>133</v>
      </c>
      <c r="J76" s="91"/>
      <c r="K76" s="91"/>
      <c r="L76" s="91">
        <f>SUM(L73:L75)</f>
        <v>320</v>
      </c>
      <c r="M76" s="91">
        <f>SUM(M73:M75)</f>
        <v>320</v>
      </c>
      <c r="N76" s="84">
        <f>L76-M76</f>
        <v>0</v>
      </c>
      <c r="O76" s="80"/>
      <c r="R76" s="110">
        <f>M80-896.67</f>
        <v>3.33000000000004</v>
      </c>
    </row>
    <row r="77" ht="15.75" spans="8:15">
      <c r="H77" s="24">
        <v>74</v>
      </c>
      <c r="I77" s="105" t="s">
        <v>134</v>
      </c>
      <c r="J77" s="91"/>
      <c r="K77" s="91">
        <f>T4</f>
        <v>2150</v>
      </c>
      <c r="L77" s="91"/>
      <c r="M77" s="91"/>
      <c r="N77" s="84"/>
      <c r="O77" s="80">
        <f>K77</f>
        <v>2150</v>
      </c>
    </row>
    <row r="78" ht="15.75" spans="8:15">
      <c r="H78" s="24">
        <v>75</v>
      </c>
      <c r="I78" s="98" t="s">
        <v>135</v>
      </c>
      <c r="J78" s="91"/>
      <c r="K78" s="23"/>
      <c r="L78" s="23"/>
      <c r="M78" s="23">
        <f>F24</f>
        <v>900</v>
      </c>
      <c r="N78" s="84"/>
      <c r="O78" s="80"/>
    </row>
    <row r="79" ht="15.75" spans="8:18">
      <c r="H79" s="24">
        <v>76</v>
      </c>
      <c r="I79" s="98" t="s">
        <v>136</v>
      </c>
      <c r="J79" s="91"/>
      <c r="K79" s="23"/>
      <c r="L79" s="23">
        <f>F25</f>
        <v>150</v>
      </c>
      <c r="M79" s="23"/>
      <c r="N79" s="84"/>
      <c r="O79" s="80"/>
      <c r="R79" s="109">
        <f>140-90.002</f>
        <v>49.998</v>
      </c>
    </row>
    <row r="80" ht="15.75" spans="8:15">
      <c r="H80" s="24">
        <v>77</v>
      </c>
      <c r="I80" s="100" t="s">
        <v>137</v>
      </c>
      <c r="J80" s="91"/>
      <c r="K80" s="91"/>
      <c r="L80" s="91">
        <f>SUM(L78:L79)</f>
        <v>150</v>
      </c>
      <c r="M80" s="91">
        <f>SUM(M78:M79)</f>
        <v>900</v>
      </c>
      <c r="N80" s="84">
        <v>0</v>
      </c>
      <c r="O80" s="80">
        <f>M80-L80</f>
        <v>750</v>
      </c>
    </row>
    <row r="81" ht="15.75" spans="8:15">
      <c r="H81" s="24">
        <v>78</v>
      </c>
      <c r="I81" s="98" t="s">
        <v>138</v>
      </c>
      <c r="J81" s="91"/>
      <c r="K81" s="23"/>
      <c r="L81" s="23"/>
      <c r="M81" s="23">
        <f>F27</f>
        <v>140</v>
      </c>
      <c r="N81" s="84"/>
      <c r="O81" s="80"/>
    </row>
    <row r="82" ht="30.75" spans="8:15">
      <c r="H82" s="24">
        <v>79</v>
      </c>
      <c r="I82" s="98" t="s">
        <v>139</v>
      </c>
      <c r="J82" s="91"/>
      <c r="K82" s="23"/>
      <c r="L82" s="23">
        <f>F28</f>
        <v>23.3333333333333</v>
      </c>
      <c r="M82" s="23"/>
      <c r="N82" s="84"/>
      <c r="O82" s="80"/>
    </row>
    <row r="83" ht="16.5" spans="8:18">
      <c r="H83" s="24">
        <v>80</v>
      </c>
      <c r="I83" s="106" t="s">
        <v>140</v>
      </c>
      <c r="J83" s="91"/>
      <c r="K83" s="23"/>
      <c r="L83" s="23">
        <f>F29</f>
        <v>66.664</v>
      </c>
      <c r="M83" s="23"/>
      <c r="N83" s="84"/>
      <c r="O83" s="80"/>
      <c r="R83" s="109">
        <f>R85-N85</f>
        <v>49.84925</v>
      </c>
    </row>
    <row r="84" ht="16.5" spans="8:15">
      <c r="H84" s="24">
        <v>81</v>
      </c>
      <c r="I84" s="100" t="s">
        <v>141</v>
      </c>
      <c r="J84" s="91"/>
      <c r="K84" s="23"/>
      <c r="L84" s="91">
        <f>SUM(L81:L83)</f>
        <v>89.9973333333333</v>
      </c>
      <c r="M84" s="91">
        <f>SUM(M81:M83)</f>
        <v>140</v>
      </c>
      <c r="N84" s="84">
        <v>0</v>
      </c>
      <c r="O84" s="80">
        <f>M84-L84</f>
        <v>50.0026666666667</v>
      </c>
    </row>
    <row r="85" ht="16.5" spans="8:18">
      <c r="H85" s="24">
        <v>82</v>
      </c>
      <c r="I85" s="107" t="s">
        <v>142</v>
      </c>
      <c r="J85" s="91"/>
      <c r="K85" s="23"/>
      <c r="L85" s="91">
        <f>F10</f>
        <v>3.47875</v>
      </c>
      <c r="M85" s="23"/>
      <c r="N85" s="84">
        <f>L85</f>
        <v>3.47875</v>
      </c>
      <c r="O85" s="80"/>
      <c r="R85" s="109">
        <f>R76+R79</f>
        <v>53.328</v>
      </c>
    </row>
    <row r="86" ht="15.75" spans="8:15">
      <c r="H86" s="102">
        <v>83</v>
      </c>
      <c r="I86" s="108" t="s">
        <v>143</v>
      </c>
      <c r="J86" s="91"/>
      <c r="K86" s="91"/>
      <c r="L86" s="91">
        <f>R92</f>
        <v>12.4623125</v>
      </c>
      <c r="M86" s="91">
        <v>53.328</v>
      </c>
      <c r="N86" s="84"/>
      <c r="O86" s="80"/>
    </row>
    <row r="87" ht="15.75" spans="8:15">
      <c r="H87" s="102">
        <v>84</v>
      </c>
      <c r="I87" s="108" t="s">
        <v>144</v>
      </c>
      <c r="J87" s="91"/>
      <c r="K87" s="91"/>
      <c r="L87" s="91">
        <f>L86+L85</f>
        <v>15.9410625</v>
      </c>
      <c r="M87" s="91">
        <f>M86</f>
        <v>53.328</v>
      </c>
      <c r="N87" s="84">
        <f>M87-L87</f>
        <v>37.3869375</v>
      </c>
      <c r="O87" s="80"/>
    </row>
    <row r="88" ht="15.75" spans="8:16">
      <c r="H88" s="102">
        <v>85</v>
      </c>
      <c r="I88" s="108" t="s">
        <v>145</v>
      </c>
      <c r="J88" s="91"/>
      <c r="K88" s="91"/>
      <c r="L88" s="91">
        <f>N87</f>
        <v>37.3869375</v>
      </c>
      <c r="M88" s="91"/>
      <c r="N88" s="84"/>
      <c r="O88" s="80"/>
      <c r="P88" s="12" t="s">
        <v>146</v>
      </c>
    </row>
    <row r="89" ht="15.75" spans="8:15">
      <c r="H89" s="102">
        <v>86</v>
      </c>
      <c r="I89" s="108" t="s">
        <v>96</v>
      </c>
      <c r="J89" s="91"/>
      <c r="K89" s="91"/>
      <c r="L89" s="91"/>
      <c r="M89" s="91">
        <f>L88</f>
        <v>37.3869375</v>
      </c>
      <c r="N89" s="84">
        <f>M89</f>
        <v>37.3869375</v>
      </c>
      <c r="O89" s="80"/>
    </row>
    <row r="90" ht="15.75" spans="8:15">
      <c r="H90" s="102"/>
      <c r="I90" s="102" t="s">
        <v>147</v>
      </c>
      <c r="J90" s="91">
        <f>J4+J8+J12+J34+J44</f>
        <v>2180</v>
      </c>
      <c r="K90" s="91">
        <f>K7+K44+K77</f>
        <v>2180</v>
      </c>
      <c r="L90" s="91">
        <f>L12+L15+L22+L28+L29+L31+L44+L54+L59+L69+L72+L76+L80+L84+L85</f>
        <v>4261.20003362135</v>
      </c>
      <c r="M90" s="91">
        <f>M7+M12+M15+M22+M31+M34+M44+M54+M59+M69+M72+M76+M80+M84</f>
        <v>4261.20003362135</v>
      </c>
      <c r="N90" s="84">
        <f>N4+N8+N12+N15+N22+N28+N29+N31+N34+N44+N54+N72+N76+N85</f>
        <v>3129.99279971199</v>
      </c>
      <c r="O90" s="80">
        <f>O7+O69+O80+O84+O77</f>
        <v>3129.99279971199</v>
      </c>
    </row>
    <row r="91" spans="13:18">
      <c r="M91" s="109"/>
      <c r="R91" s="109"/>
    </row>
    <row r="92" spans="18:18">
      <c r="R92" s="109">
        <f>R83*25%</f>
        <v>12.4623125</v>
      </c>
    </row>
    <row r="93" spans="8:15">
      <c r="H93" s="55"/>
      <c r="I93" s="55"/>
      <c r="J93" s="55"/>
      <c r="K93" s="55"/>
      <c r="L93" s="55"/>
      <c r="M93" s="55"/>
      <c r="N93" s="55"/>
      <c r="O93" s="55"/>
    </row>
  </sheetData>
  <mergeCells count="13">
    <mergeCell ref="J2:K2"/>
    <mergeCell ref="L2:M2"/>
    <mergeCell ref="N2:O2"/>
    <mergeCell ref="B5:B6"/>
    <mergeCell ref="B7:B9"/>
    <mergeCell ref="B12:B13"/>
    <mergeCell ref="B14:B15"/>
    <mergeCell ref="B16:B18"/>
    <mergeCell ref="B19:B23"/>
    <mergeCell ref="B24:B26"/>
    <mergeCell ref="B29:B34"/>
    <mergeCell ref="H2:H3"/>
    <mergeCell ref="I2:I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A43" sqref="A43"/>
    </sheetView>
  </sheetViews>
  <sheetFormatPr defaultColWidth="9" defaultRowHeight="14.25" outlineLevelCol="5"/>
  <cols>
    <col min="1" max="1" width="17.875" customWidth="1"/>
    <col min="2" max="2" width="39" customWidth="1"/>
    <col min="4" max="4" width="44.125" customWidth="1"/>
    <col min="5" max="6" width="9" style="1"/>
  </cols>
  <sheetData>
    <row r="1" ht="15" spans="1:6">
      <c r="A1" s="2"/>
      <c r="B1" s="3" t="s">
        <v>148</v>
      </c>
      <c r="C1" s="3" t="s">
        <v>149</v>
      </c>
      <c r="D1" s="3" t="s">
        <v>150</v>
      </c>
      <c r="E1" s="2"/>
      <c r="F1" s="2"/>
    </row>
    <row r="2" ht="15" spans="1:6">
      <c r="A2" s="2"/>
      <c r="B2" s="4" t="s">
        <v>151</v>
      </c>
      <c r="C2" s="3"/>
      <c r="D2" s="3"/>
      <c r="E2" s="2"/>
      <c r="F2" s="2"/>
    </row>
    <row r="3" ht="15" spans="1:6">
      <c r="A3" s="2"/>
      <c r="B3" s="4"/>
      <c r="C3" s="3"/>
      <c r="D3" s="3"/>
      <c r="E3" s="2"/>
      <c r="F3" s="2"/>
    </row>
    <row r="4" spans="1:6">
      <c r="A4" s="5"/>
      <c r="B4" s="6" t="s">
        <v>152</v>
      </c>
      <c r="C4" s="6">
        <v>110</v>
      </c>
      <c r="D4" s="6">
        <f>'Учетная книга'!R4</f>
        <v>1250</v>
      </c>
      <c r="E4" s="5"/>
      <c r="F4" s="5"/>
    </row>
    <row r="5" spans="1:6">
      <c r="A5" s="5"/>
      <c r="B5" s="6" t="s">
        <v>153</v>
      </c>
      <c r="C5" s="6">
        <v>120</v>
      </c>
      <c r="D5" s="6">
        <f>'Учетная книга'!R7</f>
        <v>80</v>
      </c>
      <c r="E5" s="5"/>
      <c r="F5" s="5"/>
    </row>
    <row r="6" ht="15" spans="1:6">
      <c r="A6" s="5"/>
      <c r="B6" s="7" t="s">
        <v>154</v>
      </c>
      <c r="C6" s="6">
        <v>190</v>
      </c>
      <c r="D6" s="6">
        <f>D5+D4</f>
        <v>1330</v>
      </c>
      <c r="E6" s="5"/>
      <c r="F6" s="5"/>
    </row>
    <row r="7" spans="1:6">
      <c r="A7" s="5"/>
      <c r="B7" s="8" t="s">
        <v>155</v>
      </c>
      <c r="C7" s="9"/>
      <c r="D7" s="6"/>
      <c r="E7" s="5"/>
      <c r="F7" s="5"/>
    </row>
    <row r="8" spans="1:6">
      <c r="A8" s="5"/>
      <c r="B8" s="10"/>
      <c r="C8" s="11"/>
      <c r="D8" s="6"/>
      <c r="E8" s="5"/>
      <c r="F8" s="5"/>
    </row>
    <row r="9" spans="1:6">
      <c r="A9" s="5"/>
      <c r="B9" s="6" t="s">
        <v>156</v>
      </c>
      <c r="C9" s="6"/>
      <c r="D9" s="6">
        <f>'Учетная книга'!R6</f>
        <v>300</v>
      </c>
      <c r="E9" s="5"/>
      <c r="F9" s="5"/>
    </row>
    <row r="10" spans="1:6">
      <c r="A10" s="5"/>
      <c r="B10" s="6"/>
      <c r="C10" s="6"/>
      <c r="D10" s="6"/>
      <c r="E10" s="5"/>
      <c r="F10" s="5"/>
    </row>
    <row r="11" spans="1:6">
      <c r="A11" s="5"/>
      <c r="B11" s="6"/>
      <c r="C11" s="6"/>
      <c r="D11" s="6"/>
      <c r="E11" s="5"/>
      <c r="F11" s="5"/>
    </row>
    <row r="12" spans="1:6">
      <c r="A12" s="5"/>
      <c r="B12" s="6"/>
      <c r="C12" s="6"/>
      <c r="D12" s="6"/>
      <c r="E12" s="5"/>
      <c r="F12" s="5"/>
    </row>
    <row r="13" spans="1:6">
      <c r="A13" s="5"/>
      <c r="B13" s="6"/>
      <c r="C13" s="6"/>
      <c r="D13" s="6"/>
      <c r="E13" s="5"/>
      <c r="F13" s="5"/>
    </row>
    <row r="14" spans="1:6">
      <c r="A14" s="5"/>
      <c r="B14" s="6"/>
      <c r="C14" s="6"/>
      <c r="D14" s="6"/>
      <c r="E14" s="5"/>
      <c r="F14" s="5"/>
    </row>
    <row r="15" spans="1:6">
      <c r="A15" s="5"/>
      <c r="B15" s="6"/>
      <c r="C15" s="6"/>
      <c r="D15" s="6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</sheetData>
  <mergeCells count="4">
    <mergeCell ref="B2:B3"/>
    <mergeCell ref="B7:B8"/>
    <mergeCell ref="C2:C3"/>
    <mergeCell ref="C7:C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Учетная книга</vt:lpstr>
      <vt:lpstr>Расчетная книга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LLY-LX1</dc:creator>
  <cp:lastModifiedBy>ВЫХУХОЛЬ</cp:lastModifiedBy>
  <dcterms:created xsi:type="dcterms:W3CDTF">2025-09-30T08:27:00Z</dcterms:created>
  <dcterms:modified xsi:type="dcterms:W3CDTF">2025-10-14T10:08:03Z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61088DCEBFEC4AEFAD6C6F68D53002C7_13</vt:lpwstr>
  </property>
  <property fmtid="{D5CDD505-2E9C-101B-9397-08002B2CF9AE}" pid="3" name="KSOProductBuildVer">
    <vt:lpwstr>1049-12.2.0.22556</vt:lpwstr>
  </property>
</Properties>
</file>