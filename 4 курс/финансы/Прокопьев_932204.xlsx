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885"/>
  </bookViews>
  <sheets>
    <sheet name="Прокопьев_9322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<sst xmlns="http://schemas.openxmlformats.org/spreadsheetml/2006/main" count="58" uniqueCount="48">
  <si>
    <t>Показатели по ОПФ и производству продукции</t>
  </si>
  <si>
    <t>Цех №1</t>
  </si>
  <si>
    <t>Цех №2</t>
  </si>
  <si>
    <t>Оба цеха</t>
  </si>
  <si>
    <t>1. Наличие ОПФ на 01.01.2017, млн. руб.:</t>
  </si>
  <si>
    <t>- по первоначальной стоимости</t>
  </si>
  <si>
    <t>- по остаточной стоимости</t>
  </si>
  <si>
    <t>2. Поступило и введено в действие за квартал, млн. руб.</t>
  </si>
  <si>
    <t>3. Выбыло ОПФ,  млн. руб.</t>
  </si>
  <si>
    <t>4. Наличное установленное оборудование, шт.</t>
  </si>
  <si>
    <t>5. Плановые простои оборудования, час.</t>
  </si>
  <si>
    <t>6. Фактическое время работы оборудования, час.</t>
  </si>
  <si>
    <t>7. Среднесписочная численность работников, чел.</t>
  </si>
  <si>
    <t>8. Объем производства готовой продукции, шт.</t>
  </si>
  <si>
    <t>9. Производственная себестоимость, тыс. руб./шт.</t>
  </si>
  <si>
    <t xml:space="preserve">10 Затраты по реализации = 11%*производственная себестоимость, тыс. руб.  </t>
  </si>
  <si>
    <t>11. Цена оптовая отпускная, тыс. руб./шт.</t>
  </si>
  <si>
    <t>№1</t>
  </si>
  <si>
    <t>Первоначальная стоимость на начало, млн руб</t>
  </si>
  <si>
    <t>Поступило, млн руб</t>
  </si>
  <si>
    <t>Выбыло, млн руб</t>
  </si>
  <si>
    <t>Первоначальная стоимость на конец, млн руб</t>
  </si>
  <si>
    <t>Остаточная стоимость на начало, млн руб</t>
  </si>
  <si>
    <t>Остаточная стоимость на конец, млн руб</t>
  </si>
  <si>
    <t>Средняя стоимость за квартал, млн руб</t>
  </si>
  <si>
    <t>№2</t>
  </si>
  <si>
    <t>Коэффициент поступления</t>
  </si>
  <si>
    <t>Коэффициент выбытия</t>
  </si>
  <si>
    <t>Коэффициент годности</t>
  </si>
  <si>
    <t>Коэффициент износа</t>
  </si>
  <si>
    <t>Интенсивность</t>
  </si>
  <si>
    <t>№3</t>
  </si>
  <si>
    <t>Фондовооруженность</t>
  </si>
  <si>
    <t>Стоимость выпущенной продукции</t>
  </si>
  <si>
    <t>Фондоотдача</t>
  </si>
  <si>
    <t>Общая средняя стоимость ОПФ</t>
  </si>
  <si>
    <t>Общая численность человек</t>
  </si>
  <si>
    <t>Общая стоимость продукции</t>
  </si>
  <si>
    <t>Средневзвешенная Фв</t>
  </si>
  <si>
    <t>Средневзвешенная Фо</t>
  </si>
  <si>
    <t>Себестоимость</t>
  </si>
  <si>
    <t>Затраты по реализации</t>
  </si>
  <si>
    <t>Полная себестоимость</t>
  </si>
  <si>
    <t>Выручка</t>
  </si>
  <si>
    <t>Прибыль от реализации</t>
  </si>
  <si>
    <t>Рентабельность</t>
  </si>
  <si>
    <t>Общая прибыль</t>
  </si>
  <si>
    <t>Результат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</si>
</sst>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3">
    <font>
      <sz val="11"/>
      <color theme="1"/>
      <name val="Calibri"/>
      <charset val="134"/>
      <scheme val="minor"/>
    </font>
    <font>
      <sz val="11.25"/>
      <name val="Calibri"/>
      <charset val="134"/>
      <scheme val="minor"/>
    </font>
    <font>
      <sz val="11"/>
      <name val="Calibri"/>
      <charset val="134"/>
      <scheme val="minor"/>
    </font>
    <font>
      <sz val="11.25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top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top" wrapText="1"/>
    </xf>
    <xf numFmtId="10" fontId="0" fillId="0" borderId="1" xfId="0" applyNumberFormat="1" applyFont="1" applyBorder="1" applyAlignment="1">
      <alignment horizontal="center" vertical="top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0" fontId="0" fillId="0" borderId="1" xfId="0" applyNumberFormat="1" applyFont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Border="1">
      <alignment vertical="center"/>
    </xf>
    <xf numFmtId="0" fontId="0" fillId="0" borderId="1" xfId="0" applyFont="1" applyBorder="1">
      <alignment vertical="center"/>
    </xf>
    <xf numFmtId="0" fontId="3" fillId="0" borderId="0" xfId="0" applyFon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600710</xdr:colOff>
      <xdr:row>10</xdr:row>
      <xdr:rowOff>172085</xdr:rowOff>
    </xdr:from>
    <xdr:to>
      <xdr:col>17</xdr:col>
      <xdr:colOff>448310</xdr:colOff>
      <xdr:row>13</xdr:row>
      <xdr:rowOff>600710</xdr:rowOff>
    </xdr:to>
    <xdr:pic>
      <xdr:nvPicPr>
        <xdr:cNvPr id="2" name="Изображение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06335" y="3347085"/>
          <a:ext cx="8658225" cy="1266825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5</xdr:col>
      <xdr:colOff>257175</xdr:colOff>
      <xdr:row>17</xdr:row>
      <xdr:rowOff>19050</xdr:rowOff>
    </xdr:from>
    <xdr:ext cx="9109075" cy="1187450"/>
    <xdr:sp>
      <xdr:nvSpPr>
        <xdr:cNvPr id="3" name="Текстовое поле 2"/>
        <xdr:cNvSpPr txBox="1"/>
      </xdr:nvSpPr>
      <xdr:spPr>
        <a:xfrm>
          <a:off x="7162800" y="5327650"/>
          <a:ext cx="9109075" cy="118745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ru-RU" altLang="en-US" sz="1100"/>
            <a:t>Первоначальные данные берем из предоставленной таблицы</a:t>
          </a:r>
          <a:endParaRPr lang="ru-RU" altLang="en-US" sz="1100"/>
        </a:p>
        <a:p>
          <a:pPr algn="l"/>
          <a:r>
            <a:rPr lang="ru-RU" altLang="en-US" sz="1100"/>
            <a:t>формула подсчета на конец месяца первоначальной и остаточной стоимости расчитывается как стоимость на начало минус выбыло плюс поступило,</a:t>
          </a:r>
          <a:endParaRPr lang="ru-RU" altLang="en-US" sz="1100"/>
        </a:p>
        <a:p>
          <a:pPr algn="l"/>
          <a:r>
            <a:rPr lang="ru-RU" altLang="en-US" sz="1100"/>
            <a:t>средняя стоимость, берем среднее от первоначальной стоимости за начало и конец.</a:t>
          </a:r>
          <a:endParaRPr lang="ru-RU" altLang="en-US" sz="1100"/>
        </a:p>
        <a:p>
          <a:pPr algn="l"/>
          <a:r>
            <a:rPr lang="ru-RU" altLang="en-US" sz="1100"/>
            <a:t>Для обоих цехов берем суммированные данные двух цехов </a:t>
          </a:r>
          <a:endParaRPr lang="ru-RU" altLang="en-US" sz="1100"/>
        </a:p>
        <a:p>
          <a:pPr algn="l"/>
          <a:endParaRPr lang="ru-RU" altLang="en-US" sz="1100"/>
        </a:p>
        <a:p>
          <a:pPr algn="l"/>
          <a:endParaRPr lang="ru-RU" altLang="en-US" sz="1100"/>
        </a:p>
      </xdr:txBody>
    </xdr:sp>
    <xdr:clientData/>
  </xdr:oneCellAnchor>
  <xdr:twoCellAnchor editAs="oneCell">
    <xdr:from>
      <xdr:col>6</xdr:col>
      <xdr:colOff>38100</xdr:colOff>
      <xdr:row>21</xdr:row>
      <xdr:rowOff>152400</xdr:rowOff>
    </xdr:from>
    <xdr:to>
      <xdr:col>16</xdr:col>
      <xdr:colOff>419100</xdr:colOff>
      <xdr:row>28</xdr:row>
      <xdr:rowOff>57150</xdr:rowOff>
    </xdr:to>
    <xdr:pic>
      <xdr:nvPicPr>
        <xdr:cNvPr id="4" name="Изображение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800975" y="6223000"/>
          <a:ext cx="7648575" cy="123825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5</xdr:col>
      <xdr:colOff>219075</xdr:colOff>
      <xdr:row>29</xdr:row>
      <xdr:rowOff>38100</xdr:rowOff>
    </xdr:from>
    <xdr:ext cx="2999105" cy="273685"/>
    <xdr:sp>
      <xdr:nvSpPr>
        <xdr:cNvPr id="5" name="Текстовое поле 4"/>
        <xdr:cNvSpPr txBox="1"/>
      </xdr:nvSpPr>
      <xdr:spPr>
        <a:xfrm>
          <a:off x="7124700" y="7632700"/>
          <a:ext cx="2999105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ru-RU" altLang="en-US" sz="1100"/>
            <a:t>Плановый фонд на 1 оборудование за квартал</a:t>
          </a:r>
          <a:r>
            <a:rPr lang="en-US" altLang="ru-RU" sz="1100"/>
            <a:t>:</a:t>
          </a:r>
          <a:endParaRPr lang="en-US" altLang="ru-RU" sz="1100"/>
        </a:p>
      </xdr:txBody>
    </xdr:sp>
    <xdr:clientData/>
  </xdr:oneCellAnchor>
  <xdr:oneCellAnchor>
    <xdr:from>
      <xdr:col>6</xdr:col>
      <xdr:colOff>66675</xdr:colOff>
      <xdr:row>32</xdr:row>
      <xdr:rowOff>85725</xdr:rowOff>
    </xdr:from>
    <xdr:ext cx="309880" cy="273685"/>
    <xdr:sp>
      <xdr:nvSpPr>
        <xdr:cNvPr id="6" name="Текстовое поле 5"/>
        <xdr:cNvSpPr txBox="1"/>
      </xdr:nvSpPr>
      <xdr:spPr>
        <a:xfrm>
          <a:off x="7829550" y="8328025"/>
          <a:ext cx="30988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endParaRPr lang="ru-RU" altLang="en-US" sz="1100"/>
        </a:p>
      </xdr:txBody>
    </xdr:sp>
    <xdr:clientData/>
  </xdr:oneCellAnchor>
  <xdr:oneCellAnchor>
    <xdr:from>
      <xdr:col>6</xdr:col>
      <xdr:colOff>161925</xdr:colOff>
      <xdr:row>34</xdr:row>
      <xdr:rowOff>85725</xdr:rowOff>
    </xdr:from>
    <xdr:ext cx="309880" cy="273685"/>
    <xdr:sp>
      <xdr:nvSpPr>
        <xdr:cNvPr id="7" name="Текстовое поле 6"/>
        <xdr:cNvSpPr txBox="1"/>
      </xdr:nvSpPr>
      <xdr:spPr>
        <a:xfrm>
          <a:off x="7924800" y="8709025"/>
          <a:ext cx="30988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endParaRPr lang="ru-RU" altLang="en-US" sz="1100"/>
        </a:p>
      </xdr:txBody>
    </xdr:sp>
    <xdr:clientData/>
  </xdr:oneCellAnchor>
  <xdr:oneCellAnchor>
    <xdr:from>
      <xdr:col>5</xdr:col>
      <xdr:colOff>247650</xdr:colOff>
      <xdr:row>31</xdr:row>
      <xdr:rowOff>133350</xdr:rowOff>
    </xdr:from>
    <xdr:ext cx="9323070" cy="1187450"/>
    <xdr:sp>
      <xdr:nvSpPr>
        <xdr:cNvPr id="8" name="Текстовое поле 7"/>
        <xdr:cNvSpPr txBox="1"/>
      </xdr:nvSpPr>
      <xdr:spPr>
        <a:xfrm>
          <a:off x="7153275" y="8108950"/>
          <a:ext cx="9323070" cy="118745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ru-RU" altLang="en-US">
              <a:sym typeface="+mn-ea"/>
            </a:rPr>
            <a:t>Первоначальные данные берем из предоставленной таблицы</a:t>
          </a:r>
          <a:endParaRPr lang="ru-RU" altLang="en-US">
            <a:sym typeface="+mn-ea"/>
          </a:endParaRPr>
        </a:p>
        <a:p>
          <a:pPr algn="l"/>
          <a:r>
            <a:rPr lang="ru-RU" altLang="en-US" sz="1100"/>
            <a:t>Для расчета коэфициентов поступления и выбытия берем величину поступления и выбытия и делим па первоначальную стоисть</a:t>
          </a:r>
          <a:endParaRPr lang="ru-RU" altLang="en-US" sz="1100"/>
        </a:p>
        <a:p>
          <a:pPr algn="l"/>
          <a:r>
            <a:rPr lang="ru-RU" altLang="en-US" sz="1100"/>
            <a:t>Для расчета коэффициента берем остаточную стоимсоть на конец месяца и делим на первоначальную стоимость на на конец месяца</a:t>
          </a:r>
          <a:endParaRPr lang="ru-RU" altLang="en-US" sz="1100"/>
        </a:p>
        <a:p>
          <a:pPr algn="l"/>
          <a:r>
            <a:rPr lang="ru-RU" altLang="en-US" sz="1100"/>
            <a:t>ДЛя коэффициента износа берем плановый фонд на 1 оборудование умножаем на установленное оборудование и отнимаем плановые простои, позже </a:t>
          </a:r>
          <a:endParaRPr lang="ru-RU" altLang="en-US" sz="1100"/>
        </a:p>
        <a:p>
          <a:pPr algn="l"/>
          <a:r>
            <a:rPr lang="ru-RU" altLang="en-US" sz="1100"/>
            <a:t> фактическое время работы делим на это число</a:t>
          </a:r>
          <a:endParaRPr lang="ru-RU" altLang="en-US" sz="1100"/>
        </a:p>
        <a:p>
          <a:pPr algn="l"/>
          <a:r>
            <a:rPr lang="ru-RU" altLang="en-US" sz="1100"/>
            <a:t>Интенстивность делим обьем производства готовой продукции на фактическое время работы, получаем шт/ч</a:t>
          </a:r>
          <a:endParaRPr lang="ru-RU" altLang="en-US" sz="1100"/>
        </a:p>
      </xdr:txBody>
    </xdr:sp>
    <xdr:clientData/>
  </xdr:oneCellAnchor>
  <xdr:twoCellAnchor editAs="oneCell">
    <xdr:from>
      <xdr:col>5</xdr:col>
      <xdr:colOff>390525</xdr:colOff>
      <xdr:row>38</xdr:row>
      <xdr:rowOff>28575</xdr:rowOff>
    </xdr:from>
    <xdr:to>
      <xdr:col>17</xdr:col>
      <xdr:colOff>142875</xdr:colOff>
      <xdr:row>52</xdr:row>
      <xdr:rowOff>28575</xdr:rowOff>
    </xdr:to>
    <xdr:pic>
      <xdr:nvPicPr>
        <xdr:cNvPr id="9" name="Изображение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296150" y="9413875"/>
          <a:ext cx="8562975" cy="266700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5</xdr:col>
      <xdr:colOff>638175</xdr:colOff>
      <xdr:row>50</xdr:row>
      <xdr:rowOff>153035</xdr:rowOff>
    </xdr:from>
    <xdr:ext cx="7353935" cy="2649855"/>
    <xdr:sp>
      <xdr:nvSpPr>
        <xdr:cNvPr id="10" name="Текстовое поле 9"/>
        <xdr:cNvSpPr txBox="1"/>
      </xdr:nvSpPr>
      <xdr:spPr>
        <a:xfrm>
          <a:off x="7543800" y="11824335"/>
          <a:ext cx="7353935" cy="264985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ru-RU" altLang="en-US" sz="1100">
              <a:cs typeface="+mn-lt"/>
            </a:rPr>
            <a:t>Аналитическая записка </a:t>
          </a:r>
          <a:endParaRPr lang="ru-RU" altLang="en-US" sz="1100">
            <a:cs typeface="+mn-lt"/>
          </a:endParaRPr>
        </a:p>
        <a:p>
          <a:pPr algn="l"/>
          <a:r>
            <a:rPr lang="ru-RU" altLang="en-US" sz="1100">
              <a:cs typeface="+mn-lt"/>
            </a:rPr>
            <a:t>Состояние фондов.</a:t>
          </a:r>
          <a:endParaRPr lang="ru-RU" altLang="en-US" sz="1100">
            <a:cs typeface="+mn-lt"/>
          </a:endParaRPr>
        </a:p>
        <a:p>
          <a:pPr algn="l"/>
          <a:r>
            <a:rPr lang="ru-RU" altLang="en-US" sz="1100">
              <a:cs typeface="+mn-lt"/>
            </a:rPr>
            <a:t>На предприятии наблюдается обновление фондов только во втором цехе (поступление 5 млн руб).</a:t>
          </a:r>
          <a:endParaRPr lang="ru-RU" altLang="en-US" sz="1100">
            <a:cs typeface="+mn-lt"/>
          </a:endParaRPr>
        </a:p>
        <a:p>
          <a:pPr algn="l"/>
          <a:r>
            <a:rPr lang="ru-RU" altLang="en-US" sz="1100">
              <a:cs typeface="+mn-lt"/>
            </a:rPr>
            <a:t>Коэффициент годности в нём выше (94% против 88%), что говорит о лучшем техническом состоянии оборудования.</a:t>
          </a:r>
          <a:endParaRPr lang="ru-RU" altLang="en-US" sz="1100">
            <a:cs typeface="+mn-lt"/>
          </a:endParaRPr>
        </a:p>
        <a:p>
          <a:pPr algn="l"/>
          <a:r>
            <a:rPr lang="ru-RU" altLang="en-US" sz="1100">
              <a:cs typeface="+mn-lt"/>
            </a:rPr>
            <a:t>Использование оборудования.</a:t>
          </a:r>
          <a:endParaRPr lang="ru-RU" altLang="en-US" sz="1100">
            <a:cs typeface="+mn-lt"/>
          </a:endParaRPr>
        </a:p>
        <a:p>
          <a:pPr algn="l"/>
          <a:r>
            <a:rPr lang="ru-RU" altLang="en-US" sz="1100">
              <a:cs typeface="+mn-lt"/>
            </a:rPr>
            <a:t>Экстенсивные коэффициенты близки (≈60%), что указывает на недоиспользование оборудования в обоих цехах.</a:t>
          </a:r>
          <a:endParaRPr lang="ru-RU" altLang="en-US" sz="1100">
            <a:cs typeface="+mn-lt"/>
          </a:endParaRPr>
        </a:p>
        <a:p>
          <a:pPr algn="l"/>
          <a:r>
            <a:rPr lang="ru-RU" altLang="en-US" sz="1100">
              <a:cs typeface="+mn-lt"/>
            </a:rPr>
            <a:t>Потенциал роста производительности остаётся высоким.</a:t>
          </a:r>
          <a:endParaRPr lang="ru-RU" altLang="en-US" sz="1100">
            <a:cs typeface="+mn-lt"/>
          </a:endParaRPr>
        </a:p>
        <a:p>
          <a:pPr algn="l"/>
          <a:r>
            <a:rPr lang="ru-RU" altLang="en-US" sz="1100">
              <a:cs typeface="+mn-lt"/>
            </a:rPr>
            <a:t>Фондовооружённость и фондоотдача.</a:t>
          </a:r>
          <a:endParaRPr lang="ru-RU" altLang="en-US" sz="1100">
            <a:cs typeface="+mn-lt"/>
          </a:endParaRPr>
        </a:p>
        <a:p>
          <a:pPr algn="l"/>
          <a:r>
            <a:rPr lang="ru-RU" altLang="en-US" sz="1100">
              <a:cs typeface="+mn-lt"/>
            </a:rPr>
            <a:t>Второй цех имеет более «тяжёлое» оборудование — фондовооружённость почти в 2 раза выше, но фондоотдача ниже.</a:t>
          </a:r>
          <a:endParaRPr lang="ru-RU" altLang="en-US" sz="1100">
            <a:cs typeface="+mn-lt"/>
          </a:endParaRPr>
        </a:p>
        <a:p>
          <a:pPr algn="l"/>
          <a:r>
            <a:rPr lang="ru-RU" altLang="en-US" sz="1100">
              <a:cs typeface="+mn-lt"/>
            </a:rPr>
            <a:t>Это может быть следствием неравномерной загрузки или более дорогих машин, дающих меньше продукции в штуках.</a:t>
          </a:r>
          <a:endParaRPr lang="ru-RU" altLang="en-US" sz="1100">
            <a:cs typeface="+mn-lt"/>
          </a:endParaRPr>
        </a:p>
        <a:p>
          <a:pPr algn="l"/>
          <a:r>
            <a:rPr lang="ru-RU" altLang="en-US" sz="1100">
              <a:cs typeface="+mn-lt"/>
            </a:rPr>
            <a:t>Эффективность и рентабельность.</a:t>
          </a:r>
          <a:endParaRPr lang="ru-RU" altLang="en-US" sz="1100">
            <a:cs typeface="+mn-lt"/>
          </a:endParaRPr>
        </a:p>
        <a:p>
          <a:pPr algn="l"/>
          <a:r>
            <a:rPr lang="ru-RU" altLang="en-US" sz="1100">
              <a:cs typeface="+mn-lt"/>
            </a:rPr>
            <a:t>Цех №1 не приносит доход (0 цена реализации → убыток).</a:t>
          </a:r>
          <a:endParaRPr lang="ru-RU" altLang="en-US" sz="1100">
            <a:cs typeface="+mn-lt"/>
          </a:endParaRPr>
        </a:p>
        <a:p>
          <a:pPr algn="l"/>
          <a:r>
            <a:rPr lang="ru-RU" altLang="en-US" sz="1100">
              <a:cs typeface="+mn-lt"/>
            </a:rPr>
            <a:t>Цех №2 покрывает затраты и обеспечивает общую прибыль.</a:t>
          </a:r>
          <a:endParaRPr lang="ru-RU" altLang="en-US" sz="1100">
            <a:cs typeface="+mn-lt"/>
          </a:endParaRPr>
        </a:p>
        <a:p>
          <a:pPr algn="l"/>
          <a:r>
            <a:rPr lang="ru-RU" altLang="en-US" sz="1100">
              <a:cs typeface="+mn-lt"/>
            </a:rPr>
            <a:t>Общая рентабельность предприятия — -15.43%, что считается неудовлетворительным, и требует оптимизации.</a:t>
          </a:r>
          <a:endParaRPr lang="ru-RU" altLang="en-US" sz="1100">
            <a:cs typeface="+mn-lt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67"/>
  <sheetViews>
    <sheetView tabSelected="1" zoomScaleSheetLayoutView="60" topLeftCell="A32" workbookViewId="0">
      <selection activeCell="B63" sqref="B63"/>
    </sheetView>
  </sheetViews>
  <sheetFormatPr defaultColWidth="10.2857142857143" defaultRowHeight="15"/>
  <cols>
    <col min="1" max="1" width="10.2857142857143" style="1"/>
    <col min="2" max="2" width="52.2857142857143" style="1" customWidth="1"/>
    <col min="3" max="3" width="14" style="1"/>
    <col min="4" max="4" width="13" style="1"/>
    <col min="5" max="5" width="14" style="1"/>
    <col min="6" max="6" width="12.8571428571429" style="1" customWidth="1"/>
    <col min="7" max="7" width="16.4285714285714" style="1" customWidth="1"/>
    <col min="8" max="16384" width="10.2857142857143" style="1"/>
  </cols>
  <sheetData>
    <row r="2" ht="46" customHeight="1" spans="2:5">
      <c r="B2" s="2" t="s">
        <v>0</v>
      </c>
      <c r="C2" s="2" t="s">
        <v>1</v>
      </c>
      <c r="D2" s="2" t="s">
        <v>2</v>
      </c>
      <c r="E2" s="3" t="s">
        <v>3</v>
      </c>
    </row>
    <row r="3" spans="2:5">
      <c r="B3" s="2" t="s">
        <v>4</v>
      </c>
      <c r="C3" s="4"/>
      <c r="D3" s="4"/>
      <c r="E3" s="3"/>
    </row>
    <row r="4" ht="24" customHeight="1" spans="2:5">
      <c r="B4" s="2" t="s">
        <v>5</v>
      </c>
      <c r="C4" s="4">
        <v>129</v>
      </c>
      <c r="D4" s="4">
        <v>210</v>
      </c>
      <c r="E4" s="3">
        <f>C4+D4</f>
        <v>339</v>
      </c>
    </row>
    <row r="5" spans="2:5">
      <c r="B5" s="2" t="s">
        <v>6</v>
      </c>
      <c r="C5" s="4">
        <v>114</v>
      </c>
      <c r="D5" s="4">
        <v>197</v>
      </c>
      <c r="E5" s="3">
        <f t="shared" ref="E5:E15" si="0">C5+D5</f>
        <v>311</v>
      </c>
    </row>
    <row r="6" ht="33" customHeight="1" spans="2:5">
      <c r="B6" s="2" t="s">
        <v>7</v>
      </c>
      <c r="C6" s="4">
        <v>0</v>
      </c>
      <c r="D6" s="4">
        <v>5</v>
      </c>
      <c r="E6" s="3">
        <f t="shared" si="0"/>
        <v>5</v>
      </c>
    </row>
    <row r="7" spans="2:5">
      <c r="B7" s="2" t="s">
        <v>8</v>
      </c>
      <c r="C7" s="4">
        <v>2.1</v>
      </c>
      <c r="D7" s="4">
        <v>2.4</v>
      </c>
      <c r="E7" s="3">
        <f t="shared" si="0"/>
        <v>4.5</v>
      </c>
    </row>
    <row r="8" ht="39" customHeight="1" spans="2:5">
      <c r="B8" s="2" t="s">
        <v>9</v>
      </c>
      <c r="C8" s="4">
        <v>27</v>
      </c>
      <c r="D8" s="4">
        <v>22</v>
      </c>
      <c r="E8" s="3">
        <f t="shared" si="0"/>
        <v>49</v>
      </c>
    </row>
    <row r="9" spans="2:5">
      <c r="B9" s="2" t="s">
        <v>10</v>
      </c>
      <c r="C9" s="4">
        <v>473</v>
      </c>
      <c r="D9" s="4">
        <v>225</v>
      </c>
      <c r="E9" s="3">
        <f t="shared" si="0"/>
        <v>698</v>
      </c>
    </row>
    <row r="10" ht="33" customHeight="1" spans="2:5">
      <c r="B10" s="2" t="s">
        <v>11</v>
      </c>
      <c r="C10" s="4">
        <v>22980</v>
      </c>
      <c r="D10" s="4">
        <v>18790</v>
      </c>
      <c r="E10" s="3">
        <f t="shared" si="0"/>
        <v>41770</v>
      </c>
    </row>
    <row r="11" spans="2:5">
      <c r="B11" s="2" t="s">
        <v>12</v>
      </c>
      <c r="C11" s="4">
        <v>44</v>
      </c>
      <c r="D11" s="4">
        <v>38</v>
      </c>
      <c r="E11" s="3">
        <f t="shared" si="0"/>
        <v>82</v>
      </c>
    </row>
    <row r="12" ht="36" customHeight="1" spans="2:5">
      <c r="B12" s="2" t="s">
        <v>13</v>
      </c>
      <c r="C12" s="4">
        <v>10200</v>
      </c>
      <c r="D12" s="4">
        <v>10200</v>
      </c>
      <c r="E12" s="3">
        <f t="shared" si="0"/>
        <v>20400</v>
      </c>
    </row>
    <row r="13" spans="2:5">
      <c r="B13" s="2" t="s">
        <v>14</v>
      </c>
      <c r="C13" s="4">
        <v>0.7</v>
      </c>
      <c r="D13" s="4">
        <v>0.6</v>
      </c>
      <c r="E13" s="3">
        <f t="shared" si="0"/>
        <v>1.3</v>
      </c>
    </row>
    <row r="14" ht="57" customHeight="1" spans="2:5">
      <c r="B14" s="2" t="s">
        <v>15</v>
      </c>
      <c r="C14" s="5">
        <f>0.11</f>
        <v>0.11</v>
      </c>
      <c r="D14" s="5">
        <f>0.11</f>
        <v>0.11</v>
      </c>
      <c r="E14" s="5">
        <f>0.11</f>
        <v>0.11</v>
      </c>
    </row>
    <row r="15" spans="2:5">
      <c r="B15" s="2" t="s">
        <v>16</v>
      </c>
      <c r="C15" s="4">
        <v>0</v>
      </c>
      <c r="D15" s="4">
        <v>1.75</v>
      </c>
      <c r="E15" s="3">
        <f t="shared" si="0"/>
        <v>1.75</v>
      </c>
    </row>
    <row r="18" spans="2:5">
      <c r="B18" s="3" t="s">
        <v>17</v>
      </c>
      <c r="C18" s="3" t="s">
        <v>1</v>
      </c>
      <c r="D18" s="3" t="s">
        <v>2</v>
      </c>
      <c r="E18" s="3" t="s">
        <v>3</v>
      </c>
    </row>
    <row r="19" spans="2:5">
      <c r="B19" s="3" t="s">
        <v>18</v>
      </c>
      <c r="C19" s="3">
        <f>C4</f>
        <v>129</v>
      </c>
      <c r="D19" s="3">
        <f>D4</f>
        <v>210</v>
      </c>
      <c r="E19" s="3">
        <f>C19+D19</f>
        <v>339</v>
      </c>
    </row>
    <row r="20" spans="2:5">
      <c r="B20" s="3" t="s">
        <v>19</v>
      </c>
      <c r="C20" s="3">
        <f>C6</f>
        <v>0</v>
      </c>
      <c r="D20" s="3">
        <f>D6</f>
        <v>5</v>
      </c>
      <c r="E20" s="3">
        <f>C20+D20</f>
        <v>5</v>
      </c>
    </row>
    <row r="21" spans="2:5">
      <c r="B21" s="3" t="s">
        <v>20</v>
      </c>
      <c r="C21" s="3">
        <f>C7</f>
        <v>2.1</v>
      </c>
      <c r="D21" s="3">
        <f>D7</f>
        <v>2.4</v>
      </c>
      <c r="E21" s="3">
        <f>C21+D21</f>
        <v>4.5</v>
      </c>
    </row>
    <row r="22" spans="2:5">
      <c r="B22" s="6" t="s">
        <v>21</v>
      </c>
      <c r="C22" s="3">
        <f>C19+C20-C21</f>
        <v>126.9</v>
      </c>
      <c r="D22" s="3">
        <f>D19+D20-D21</f>
        <v>212.6</v>
      </c>
      <c r="E22" s="3">
        <f>E19+E20-E21</f>
        <v>339.5</v>
      </c>
    </row>
    <row r="23" spans="2:5">
      <c r="B23" s="3" t="s">
        <v>22</v>
      </c>
      <c r="C23" s="3">
        <f>C5</f>
        <v>114</v>
      </c>
      <c r="D23" s="3">
        <f>D5</f>
        <v>197</v>
      </c>
      <c r="E23" s="3">
        <f>C23+D23</f>
        <v>311</v>
      </c>
    </row>
    <row r="24" spans="2:5">
      <c r="B24" s="6" t="s">
        <v>23</v>
      </c>
      <c r="C24" s="3">
        <f>C23+C20-C21</f>
        <v>111.9</v>
      </c>
      <c r="D24" s="3">
        <f>D23+D20-D21</f>
        <v>199.6</v>
      </c>
      <c r="E24" s="3">
        <f>E23+E20-E21</f>
        <v>311.5</v>
      </c>
    </row>
    <row r="25" spans="2:5">
      <c r="B25" s="6" t="s">
        <v>24</v>
      </c>
      <c r="C25" s="3">
        <f>(C22+C19)/2</f>
        <v>127.95</v>
      </c>
      <c r="D25" s="3">
        <f>(D22+D19)/2</f>
        <v>211.3</v>
      </c>
      <c r="E25" s="3">
        <f>(E22+E19)/2</f>
        <v>339.25</v>
      </c>
    </row>
    <row r="28" spans="2:5">
      <c r="B28" s="7" t="s">
        <v>25</v>
      </c>
      <c r="C28" s="3" t="s">
        <v>1</v>
      </c>
      <c r="D28" s="3" t="s">
        <v>2</v>
      </c>
      <c r="E28" s="3" t="s">
        <v>3</v>
      </c>
    </row>
    <row r="29" spans="2:5">
      <c r="B29" s="7" t="s">
        <v>26</v>
      </c>
      <c r="C29" s="8">
        <f>C20/C19</f>
        <v>0</v>
      </c>
      <c r="D29" s="8">
        <f>(D20/D19)</f>
        <v>0.0238095238095238</v>
      </c>
      <c r="E29" s="8">
        <f>(E20/E19)</f>
        <v>0.0147492625368732</v>
      </c>
    </row>
    <row r="30" spans="2:5">
      <c r="B30" s="3" t="s">
        <v>27</v>
      </c>
      <c r="C30" s="8">
        <f>C21/C19</f>
        <v>0.0162790697674419</v>
      </c>
      <c r="D30" s="8">
        <f>D21/D19</f>
        <v>0.0114285714285714</v>
      </c>
      <c r="E30" s="8">
        <f>E21/E19</f>
        <v>0.0132743362831858</v>
      </c>
    </row>
    <row r="31" spans="2:9">
      <c r="B31" s="3" t="s">
        <v>28</v>
      </c>
      <c r="C31" s="8">
        <f>C24/C22</f>
        <v>0.881796690307329</v>
      </c>
      <c r="D31" s="8">
        <f>D24/D22</f>
        <v>0.938852304797742</v>
      </c>
      <c r="E31" s="8">
        <f>E24/E22</f>
        <v>0.917525773195876</v>
      </c>
      <c r="I31" s="1">
        <f>2*8*90</f>
        <v>1440</v>
      </c>
    </row>
    <row r="32" ht="21" customHeight="1" spans="2:5">
      <c r="B32" s="3" t="s">
        <v>29</v>
      </c>
      <c r="C32" s="8">
        <f>C10/($I31*C8-C9)</f>
        <v>0.598328429713334</v>
      </c>
      <c r="D32" s="8">
        <f>D10/($I31*D8-D9)</f>
        <v>0.597361309807662</v>
      </c>
      <c r="E32" s="8">
        <f>E10/($I31*E8-E9)</f>
        <v>0.597892989035527</v>
      </c>
    </row>
    <row r="33" spans="2:5">
      <c r="B33" s="3" t="s">
        <v>30</v>
      </c>
      <c r="C33" s="9">
        <f>C12/C10</f>
        <v>0.443864229765013</v>
      </c>
      <c r="D33" s="9">
        <f>D12/D10</f>
        <v>0.542841937200639</v>
      </c>
      <c r="E33" s="9">
        <f>E12/E10</f>
        <v>0.48838879578645</v>
      </c>
    </row>
    <row r="39" spans="2:5">
      <c r="B39" s="7" t="s">
        <v>31</v>
      </c>
      <c r="C39" s="3" t="s">
        <v>1</v>
      </c>
      <c r="D39" s="3" t="s">
        <v>2</v>
      </c>
      <c r="E39" s="3" t="s">
        <v>3</v>
      </c>
    </row>
    <row r="40" spans="2:5">
      <c r="B40" s="10" t="s">
        <v>32</v>
      </c>
      <c r="C40" s="11">
        <f>C24/C11</f>
        <v>2.54318181818182</v>
      </c>
      <c r="D40" s="11">
        <f>D24/D11</f>
        <v>5.25263157894737</v>
      </c>
      <c r="E40" s="11">
        <f>E24/E11</f>
        <v>3.79878048780488</v>
      </c>
    </row>
    <row r="41" spans="2:5">
      <c r="B41" s="10" t="s">
        <v>33</v>
      </c>
      <c r="C41" s="11">
        <f>C31*C12</f>
        <v>8994.32624113475</v>
      </c>
      <c r="D41" s="11">
        <f>D31*D12</f>
        <v>9576.29350893697</v>
      </c>
      <c r="E41" s="11">
        <f>E31*E12</f>
        <v>18717.5257731959</v>
      </c>
    </row>
    <row r="42" spans="2:5">
      <c r="B42" s="10" t="s">
        <v>34</v>
      </c>
      <c r="C42" s="12">
        <f>C41/C24</f>
        <v>80.3782505910165</v>
      </c>
      <c r="D42" s="12">
        <f>D41/D24</f>
        <v>47.9774223894638</v>
      </c>
      <c r="E42" s="12">
        <f>E41/E24</f>
        <v>60.0883652430044</v>
      </c>
    </row>
    <row r="43" spans="3:5">
      <c r="C43" s="13"/>
      <c r="D43" s="13"/>
      <c r="E43" s="13"/>
    </row>
    <row r="44" spans="3:5">
      <c r="C44" s="13"/>
      <c r="D44" s="13"/>
      <c r="E44" s="13"/>
    </row>
    <row r="45" spans="3:5">
      <c r="C45" s="13"/>
      <c r="D45" s="13"/>
      <c r="E45" s="13"/>
    </row>
    <row r="46" spans="3:5">
      <c r="C46" s="13"/>
      <c r="D46" s="13"/>
      <c r="E46" s="13"/>
    </row>
    <row r="47" spans="2:5">
      <c r="B47" s="10" t="s">
        <v>35</v>
      </c>
      <c r="C47" s="14">
        <f>E24</f>
        <v>311.5</v>
      </c>
      <c r="D47" s="13"/>
      <c r="E47" s="13"/>
    </row>
    <row r="48" spans="2:5">
      <c r="B48" s="10" t="s">
        <v>36</v>
      </c>
      <c r="C48" s="11">
        <f>E11</f>
        <v>82</v>
      </c>
      <c r="D48" s="15"/>
      <c r="E48" s="15"/>
    </row>
    <row r="49" spans="2:5">
      <c r="B49" s="10" t="s">
        <v>37</v>
      </c>
      <c r="C49" s="11">
        <f>C41+D41</f>
        <v>18570.6197500717</v>
      </c>
      <c r="D49" s="15"/>
      <c r="E49" s="15"/>
    </row>
    <row r="50" spans="2:5">
      <c r="B50" s="10" t="s">
        <v>38</v>
      </c>
      <c r="C50" s="11">
        <f>C47/C48</f>
        <v>3.79878048780488</v>
      </c>
      <c r="D50" s="15"/>
      <c r="E50" s="15"/>
    </row>
    <row r="51" spans="2:5">
      <c r="B51" s="10" t="s">
        <v>39</v>
      </c>
      <c r="C51" s="11">
        <f>C49/C47</f>
        <v>59.6167568220601</v>
      </c>
      <c r="D51" s="15"/>
      <c r="E51" s="15"/>
    </row>
    <row r="52" spans="2:5">
      <c r="B52" s="15"/>
      <c r="C52" s="15"/>
      <c r="D52" s="15"/>
      <c r="E52" s="15"/>
    </row>
    <row r="53" spans="2:2">
      <c r="B53" s="16"/>
    </row>
    <row r="54" spans="2:5">
      <c r="B54" s="17" t="s">
        <v>40</v>
      </c>
      <c r="C54" s="3">
        <f>C12*C13</f>
        <v>7140</v>
      </c>
      <c r="D54" s="3">
        <f>D12*D13</f>
        <v>6120</v>
      </c>
      <c r="E54" s="3">
        <f>C54+D54</f>
        <v>13260</v>
      </c>
    </row>
    <row r="55" spans="2:5">
      <c r="B55" s="17" t="s">
        <v>41</v>
      </c>
      <c r="C55" s="3">
        <f>C54*C14</f>
        <v>785.4</v>
      </c>
      <c r="D55" s="3">
        <f>D54*D14</f>
        <v>673.2</v>
      </c>
      <c r="E55" s="3">
        <f>C55+D55</f>
        <v>1458.6</v>
      </c>
    </row>
    <row r="56" spans="2:5">
      <c r="B56" s="17" t="s">
        <v>42</v>
      </c>
      <c r="C56" s="3">
        <f>C55+C54</f>
        <v>7925.4</v>
      </c>
      <c r="D56" s="3">
        <f>D55+D54</f>
        <v>6793.2</v>
      </c>
      <c r="E56" s="3">
        <f>C56+D56</f>
        <v>14718.6</v>
      </c>
    </row>
    <row r="57" spans="2:5">
      <c r="B57" s="17" t="s">
        <v>43</v>
      </c>
      <c r="C57" s="3">
        <f>C12*C15</f>
        <v>0</v>
      </c>
      <c r="D57" s="3">
        <f>D12*D15</f>
        <v>17850</v>
      </c>
      <c r="E57" s="3">
        <f>C57+D57</f>
        <v>17850</v>
      </c>
    </row>
    <row r="58" spans="2:5">
      <c r="B58" s="10" t="s">
        <v>44</v>
      </c>
      <c r="C58" s="3">
        <f>C57-C56</f>
        <v>-7925.4</v>
      </c>
      <c r="D58" s="3">
        <f>D57-D56</f>
        <v>11056.8</v>
      </c>
      <c r="E58" s="3">
        <f>C58+D58</f>
        <v>3131.4</v>
      </c>
    </row>
    <row r="59" spans="2:5">
      <c r="B59" s="17" t="s">
        <v>45</v>
      </c>
      <c r="C59" s="9">
        <f>(C58/C24)</f>
        <v>-70.8257372654155</v>
      </c>
      <c r="D59" s="9">
        <f>(D58/D24)</f>
        <v>55.3947895791583</v>
      </c>
      <c r="E59" s="3">
        <f>C59+D59</f>
        <v>-15.4309476862572</v>
      </c>
    </row>
    <row r="61" spans="2:3">
      <c r="B61" s="7" t="s">
        <v>46</v>
      </c>
      <c r="C61" s="7">
        <f>C58+D58</f>
        <v>3131.4</v>
      </c>
    </row>
    <row r="62" spans="2:3">
      <c r="B62" s="7" t="s">
        <v>35</v>
      </c>
      <c r="C62" s="7">
        <f>C47</f>
        <v>311.5</v>
      </c>
    </row>
    <row r="63" spans="2:3">
      <c r="B63" s="7" t="s">
        <v>47</v>
      </c>
      <c r="C63" s="7">
        <f>C61/C62</f>
        <v>10.0526484751204</v>
      </c>
    </row>
    <row r="67" ht="16.5" spans="2:2">
      <c r="B67" s="18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Прокопьев_932204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ВЫХУХОЛЬ</cp:lastModifiedBy>
  <dcterms:created xsi:type="dcterms:W3CDTF">2025-10-14T10:08:44Z</dcterms:created>
  <dcterms:modified xsi:type="dcterms:W3CDTF">2025-10-14T12:44:18Z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1049-12.2.0.22556</vt:lpwstr>
  </property>
  <property fmtid="{D5CDD505-2E9C-101B-9397-08002B2CF9AE}" pid="3" name="ICV">
    <vt:lpwstr>D66F0A2CDC614D869AC524C690C3EAA1_13</vt:lpwstr>
  </property>
</Properties>
</file>